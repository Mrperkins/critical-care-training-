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review" sheetId="1" state="visible" r:id="rId3"/>
    <sheet name="Summary" sheetId="2" state="visible" r:id="rId4"/>
    <sheet name="Review" sheetId="3" state="visible" r:id="rId5"/>
  </sheets>
  <definedNames>
    <definedName function="false" hidden="true" localSheetId="2" name="_xlnm._FilterDatabase" vbProcedure="false">Review!$A$1:$H$752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<sst xmlns="http://schemas.openxmlformats.org/spreadsheetml/2006/main" count="3866" uniqueCount="2719">
  <si>
    <t xml:space="preserve">Clinical review — Critical Care Physiology</t>
  </si>
  <si>
    <t xml:space="preserve">What this is</t>
  </si>
  <si>
    <t xml:space="preserve">Every teaching claim in the app, one row each: reference values, all lesson narration, challenge questions with their answers and explanations, real clinical media captions and overlays, and the descriptions shown when a 3D label is tapped.</t>
  </si>
  <si>
    <t xml:space="preserve">What to fill in</t>
  </si>
  <si>
    <t xml:space="preserve">Only the two yellow columns on the Review sheet: Verdict (pick OK, Change or Remove from the list) and Reviewer comment (what is wrong and what it should say).</t>
  </si>
  <si>
    <t xml:space="preserve">Where to look</t>
  </si>
  <si>
    <t xml:space="preserve">"Where in the app" names the module and screen. Overlay rows ask you to check placement on the image in the app itself.</t>
  </si>
  <si>
    <t xml:space="preserve">Progress</t>
  </si>
  <si>
    <t xml:space="preserve">The Summary sheet counts verdicts per section as you go.</t>
  </si>
  <si>
    <t xml:space="preserve">Source</t>
  </si>
  <si>
    <t xml:space="preserve">Generated from the app source by app/scripts/review-packet.ts (751 rows). Regenerated on every site build; the IDs stay stable so comments can be matched back.</t>
  </si>
  <si>
    <t xml:space="preserve">Example row (not part of the review)</t>
  </si>
  <si>
    <t xml:space="preserve">Section</t>
  </si>
  <si>
    <t xml:space="preserve">ID</t>
  </si>
  <si>
    <t xml:space="preserve">Where in the app</t>
  </si>
  <si>
    <t xml:space="preserve">Item</t>
  </si>
  <si>
    <t xml:space="preserve">Content to review</t>
  </si>
  <si>
    <t xml:space="preserve">Verdict</t>
  </si>
  <si>
    <t xml:space="preserve">Reviewer comment</t>
  </si>
  <si>
    <t xml:space="preserve">1 Reference values</t>
  </si>
  <si>
    <t xml:space="preserve">vent:PEEP</t>
  </si>
  <si>
    <t xml:space="preserve">Ventilator › Normal values › Settings</t>
  </si>
  <si>
    <t xml:space="preserve">PEEP</t>
  </si>
  <si>
    <t xml:space="preserve">5 cmH₂O — Physiological minimum…</t>
  </si>
  <si>
    <t xml:space="preserve">Change</t>
  </si>
  <si>
    <t xml:space="preserve">Say "typical starting PEEP" rather than "physiological minimum".</t>
  </si>
  <si>
    <t xml:space="preserve">Items</t>
  </si>
  <si>
    <t xml:space="preserve">OK</t>
  </si>
  <si>
    <t xml:space="preserve">Remove</t>
  </si>
  <si>
    <t xml:space="preserve">Not yet reviewed</t>
  </si>
  <si>
    <t xml:space="preserve">% reviewed</t>
  </si>
  <si>
    <t xml:space="preserve">2 Lesson narration</t>
  </si>
  <si>
    <t xml:space="preserve">3 Challenge cases</t>
  </si>
  <si>
    <t xml:space="preserve">4 Real clinical media</t>
  </si>
  <si>
    <t xml:space="preserve">5 Label descriptions</t>
  </si>
  <si>
    <t xml:space="preserve">Total</t>
  </si>
  <si>
    <t xml:space="preserve">Source / credit</t>
  </si>
  <si>
    <t xml:space="preserve">vent:Tidal volume</t>
  </si>
  <si>
    <t xml:space="preserve">Ventilator › Normal values › Settings — adult, lung-protective starting point</t>
  </si>
  <si>
    <t xml:space="preserve">Tidal volume</t>
  </si>
  <si>
    <t xml:space="preserve">6–8 mL/kg PBW — ARDS 4–6 (start at 6). Always per predicted body weight, never actual weight.</t>
  </si>
  <si>
    <t xml:space="preserve">vent:Predicted body weight</t>
  </si>
  <si>
    <t xml:space="preserve">Predicted body weight</t>
  </si>
  <si>
    <t xml:space="preserve">from height kg — Men 50 + 0.91 × (height cm − 152.4); women 45.5 + 0.91 × (height cm − 152.4). Height, not weight, sets lung size.</t>
  </si>
  <si>
    <t xml:space="preserve">vent:Respiratory rate</t>
  </si>
  <si>
    <t xml:space="preserve">Respiratory rate</t>
  </si>
  <si>
    <t xml:space="preserve">12–20 /min — ARDS up to 35 to hold pH; obstructive disease lower (8–12) to allow exhalation.</t>
  </si>
  <si>
    <t xml:space="preserve">vent:Minute ventilation</t>
  </si>
  <si>
    <t xml:space="preserve">Minute ventilation</t>
  </si>
  <si>
    <t xml:space="preserve">5–8 L/min — ≈ 100 mL/kg PBW/min. Higher needs (sepsis, acidosis) push it up.</t>
  </si>
  <si>
    <t xml:space="preserve">5 cmH₂O — Physiological minimum. ARDS: higher per the PEEP/FiO₂ table (often 8–18).</t>
  </si>
  <si>
    <t xml:space="preserve">vent:FiO₂</t>
  </si>
  <si>
    <t xml:space="preserve">FiO₂</t>
  </si>
  <si>
    <t xml:space="preserve">0.21–1.0 — Start 1.0 after intubation, then the lowest FiO₂ that meets the SpO₂ target; aim &lt; 0.6.</t>
  </si>
  <si>
    <t xml:space="preserve">vent:I:E ratio</t>
  </si>
  <si>
    <t xml:space="preserve">I:E ratio</t>
  </si>
  <si>
    <t xml:space="preserve">1:2 — Obstructive disease 1:3 to 1:5 to give time to exhale.</t>
  </si>
  <si>
    <t xml:space="preserve">vent:Inspiratory time</t>
  </si>
  <si>
    <t xml:space="preserve">Inspiratory time</t>
  </si>
  <si>
    <t xml:space="preserve">0.8–1.2 s</t>
  </si>
  <si>
    <t xml:space="preserve">vent:Peak inspiratory flow (VC)</t>
  </si>
  <si>
    <t xml:space="preserve">Peak inspiratory flow (VC)</t>
  </si>
  <si>
    <t xml:space="preserve">40–60 L/min — Higher (60–80+) in obstruction to shorten inspiration.</t>
  </si>
  <si>
    <t xml:space="preserve">vent:Plateau pressure</t>
  </si>
  <si>
    <t xml:space="preserve">Ventilator › Normal values › Measured mechanics</t>
  </si>
  <si>
    <t xml:space="preserve">Plateau pressure</t>
  </si>
  <si>
    <t xml:space="preserve">≤ 30 (ideally &lt; 28) cmH₂O — Alveolar pressure at end-inspiration — needs an inspiratory hold to measure.</t>
  </si>
  <si>
    <t xml:space="preserve">vent:Driving pressure (Pplat − PEEP)</t>
  </si>
  <si>
    <t xml:space="preserve">Driving pressure (Pplat − PEEP)</t>
  </si>
  <si>
    <t xml:space="preserve">≤ 15 cmH₂O — The strongest single predictor of ventilator-induced lung injury.</t>
  </si>
  <si>
    <t xml:space="preserve">vent:Peak inspiratory pressure</t>
  </si>
  <si>
    <t xml:space="preserve">Peak inspiratory pressure</t>
  </si>
  <si>
    <t xml:space="preserve">&lt; 35 cmH₂O — PIP − Pplat ≤ 5 is normal; &gt; 10 = high airway resistance (kinked tube, secretions, bronchospasm).</t>
  </si>
  <si>
    <t xml:space="preserve">vent:PIP − Pplat</t>
  </si>
  <si>
    <t xml:space="preserve">PIP − Pplat</t>
  </si>
  <si>
    <t xml:space="preserve">≤ 5 cmH₂O — Resistive pressure. Rises with airway problems; Pplat rises with lung/chest-wall problems.</t>
  </si>
  <si>
    <t xml:space="preserve">vent:Auto-PEEP (intrinsic)</t>
  </si>
  <si>
    <t xml:space="preserve">Auto-PEEP (intrinsic)</t>
  </si>
  <si>
    <t xml:space="preserve">0 cmH₂O — Any value means exhalation is not finishing — measure with an expiratory hold.</t>
  </si>
  <si>
    <t xml:space="preserve">vent:Static compliance</t>
  </si>
  <si>
    <t xml:space="preserve">Static compliance</t>
  </si>
  <si>
    <t xml:space="preserve">50–100 mL/cmH₂O — Vt ÷ (Pplat − PEEP). ARDS, oedema, obesity, pneumothorax often &lt; 40.</t>
  </si>
  <si>
    <t xml:space="preserve">vent:Airway resistance</t>
  </si>
  <si>
    <t xml:space="preserve">Airway resistance</t>
  </si>
  <si>
    <t xml:space="preserve">5–10 cmH₂O/L/s — Intubated adult (the tube adds resistance). &gt; 15–20 is high.</t>
  </si>
  <si>
    <t xml:space="preserve">vent:Time constant τ (R × C)</t>
  </si>
  <si>
    <t xml:space="preserve">Time constant τ (R × C)</t>
  </si>
  <si>
    <t xml:space="preserve">≈ 0.5 s — Exhalation needs about 3τ; long τ (obstruction) → air trapping.</t>
  </si>
  <si>
    <t xml:space="preserve">vent:SpO₂</t>
  </si>
  <si>
    <t xml:space="preserve">Ventilator › Normal values › Gas exchange &amp; monitoring</t>
  </si>
  <si>
    <t xml:space="preserve">SpO₂</t>
  </si>
  <si>
    <t xml:space="preserve">95–100 (target 92–96) % — Chronic hypercapnia / COPD: 88–92 %.</t>
  </si>
  <si>
    <t xml:space="preserve">vent:PaO₂</t>
  </si>
  <si>
    <t xml:space="preserve">PaO₂</t>
  </si>
  <si>
    <t xml:space="preserve">80–100 mmHg — On room air; falls slightly with age. Target on the ventilator ≈ 55–80 (ARDSnet).</t>
  </si>
  <si>
    <t xml:space="preserve">vent:P/F ratio (PaO₂ ÷ FiO₂)</t>
  </si>
  <si>
    <t xml:space="preserve">P/F ratio (PaO₂ ÷ FiO₂)</t>
  </si>
  <si>
    <t xml:space="preserve">&gt; 400 — ARDS (Berlin, PEEP ≥ 5): mild 200–300, moderate 100–200, severe ≤ 100.</t>
  </si>
  <si>
    <t xml:space="preserve">vent:A–a gradient</t>
  </si>
  <si>
    <t xml:space="preserve">A–a gradient</t>
  </si>
  <si>
    <t xml:space="preserve">&lt; age/4 + 4 mmHg — ≈ 5–15 on room air. Wide gradient = V/Q mismatch, shunt or diffusion problem.</t>
  </si>
  <si>
    <t xml:space="preserve">vent:PaCO₂</t>
  </si>
  <si>
    <t xml:space="preserve">PaCO₂</t>
  </si>
  <si>
    <t xml:space="preserve">35–45 mmHg — Set by alveolar ventilation. Permissive hypercapnia is accepted in ARDS if pH ≥ 7.20–7.25.</t>
  </si>
  <si>
    <t xml:space="preserve">vent:EtCO₂</t>
  </si>
  <si>
    <t xml:space="preserve">EtCO₂</t>
  </si>
  <si>
    <t xml:space="preserve">35–45 mmHg — Normally 2–5 below PaCO₂; the gap widens with dead space (PE, low cardiac output, over-distension).</t>
  </si>
  <si>
    <t xml:space="preserve">vent:pH</t>
  </si>
  <si>
    <t xml:space="preserve">pH</t>
  </si>
  <si>
    <t xml:space="preserve">7.35–7.45</t>
  </si>
  <si>
    <t xml:space="preserve">vent:HCO₃⁻</t>
  </si>
  <si>
    <t xml:space="preserve">HCO₃⁻</t>
  </si>
  <si>
    <t xml:space="preserve">22–26 mEq/L</t>
  </si>
  <si>
    <t xml:space="preserve">vent:Base excess</t>
  </si>
  <si>
    <t xml:space="preserve">Base excess</t>
  </si>
  <si>
    <t xml:space="preserve">−2 to +2 mEq/L</t>
  </si>
  <si>
    <t xml:space="preserve">vent:Dead space (Vd/Vt)</t>
  </si>
  <si>
    <t xml:space="preserve">Dead space (Vd/Vt)</t>
  </si>
  <si>
    <t xml:space="preserve">0.2–0.35 — Rises with PE, low cardiac output, over-distension, high PEEP.</t>
  </si>
  <si>
    <t xml:space="preserve">vent:Lactate</t>
  </si>
  <si>
    <t xml:space="preserve">Lactate</t>
  </si>
  <si>
    <t xml:space="preserve">&lt; 2 mmol/L — ≥ 2 in sepsis is abnormal; ≥ 4 with hypotension = septic shock.</t>
  </si>
  <si>
    <t xml:space="preserve">vent:SvO₂ / ScvO₂</t>
  </si>
  <si>
    <t xml:space="preserve">SvO₂ / ScvO₂</t>
  </si>
  <si>
    <t xml:space="preserve">65–75 / ≥ 70 % — Low = oxygen delivery not meeting demand.</t>
  </si>
  <si>
    <t xml:space="preserve">vent:Mean arterial pressure</t>
  </si>
  <si>
    <t xml:space="preserve">Mean arterial pressure</t>
  </si>
  <si>
    <t xml:space="preserve">≥ 65 mmHg — High PEEP and air trapping lower venous return and MAP.</t>
  </si>
  <si>
    <t xml:space="preserve">lines:Systolic</t>
  </si>
  <si>
    <t xml:space="preserve">Lines › Normal values › Arterial pressure</t>
  </si>
  <si>
    <t xml:space="preserve">Systolic</t>
  </si>
  <si>
    <t xml:space="preserve">90–140 mmHg — Radial systolic runs a few to 15 mmHg higher than central aortic (peripheral amplification; less in the elderly).</t>
  </si>
  <si>
    <t xml:space="preserve">lines:Diastolic</t>
  </si>
  <si>
    <t xml:space="preserve">Diastolic</t>
  </si>
  <si>
    <t xml:space="preserve">60–90 mmHg</t>
  </si>
  <si>
    <t xml:space="preserve">lines:Mean arterial pressure</t>
  </si>
  <si>
    <t xml:space="preserve">70–105 (target ≥ 65) mmHg — ≈ diastolic + ⅓ pulse pressure; the monitor integrates the waveform.</t>
  </si>
  <si>
    <t xml:space="preserve">lines:Pulse pressure</t>
  </si>
  <si>
    <t xml:space="preserve">Pulse pressure</t>
  </si>
  <si>
    <t xml:space="preserve">30–60 mmHg — Narrow: low stroke volume, tamponade, AS. Wide: AR, stiff arteries, sepsis, heart block.</t>
  </si>
  <si>
    <t xml:space="preserve">lines:Pulse-pressure variation</t>
  </si>
  <si>
    <t xml:space="preserve">Pulse-pressure variation</t>
  </si>
  <si>
    <t xml:space="preserve">&lt; 9 (grey zone 9–13, &gt; 13 = fluid-responsive) % — Valid only with controlled ventilation ≥ 8 mL/kg, no spontaneous effort, sinus rhythm, closed chest, HR/RR &gt; 3.6, compliance &gt; 30 mL/cmH₂O, no RV failure or intra-abdominal hypertension.</t>
  </si>
  <si>
    <t xml:space="preserve">lines:Systolic fall on inspiration (spontaneous)</t>
  </si>
  <si>
    <t xml:space="preserve">Systolic fall on inspiration (spontaneous)</t>
  </si>
  <si>
    <t xml:space="preserve">&lt; 10 mmHg — &gt; 10 = pulsus paradoxus: tamponade, severe asthma/COPD, massive PE.</t>
  </si>
  <si>
    <t xml:space="preserve">lines:CVP</t>
  </si>
  <si>
    <t xml:space="preserve">Lines › Normal values › Central venous pressure</t>
  </si>
  <si>
    <t xml:space="preserve">CVP</t>
  </si>
  <si>
    <t xml:space="preserve">2–8 mmHg — A single value says little about fluid responsiveness; trends and the waveform say more.</t>
  </si>
  <si>
    <t xml:space="preserve">lines:Conversion</t>
  </si>
  <si>
    <t xml:space="preserve">Conversion</t>
  </si>
  <si>
    <t xml:space="preserve">1 mmHg = 1.36 cmH₂O — A water manometer reads 1.36 × higher numbers than the transducer.</t>
  </si>
  <si>
    <t xml:space="preserve">lines:Waves</t>
  </si>
  <si>
    <t xml:space="preserve">Waves</t>
  </si>
  <si>
    <t xml:space="preserve">a · c · x · v · y — a after P (atrial kick) · c at QRS (tricuspid bulge) · x (atrial relaxation) · v after T (atrial filling) · y (tricuspid opens).</t>
  </si>
  <si>
    <t xml:space="preserve">lines:Reference level</t>
  </si>
  <si>
    <t xml:space="preserve">Lines › Normal values › The monitoring system</t>
  </si>
  <si>
    <t xml:space="preserve">Reference level</t>
  </si>
  <si>
    <t xml:space="preserve">Phlebostatic axis — 4th intercostal space, mid-axillary line (≈ right atrium). Valid with the head of the bed 0–60°.</t>
  </si>
  <si>
    <t xml:space="preserve">lines:Level error</t>
  </si>
  <si>
    <t xml:space="preserve">Level error</t>
  </si>
  <si>
    <t xml:space="preserve">0.74 per cm mmHg — Transducer below the axis → reads high; above → reads low.</t>
  </si>
  <si>
    <t xml:space="preserve">lines:Pressure bag</t>
  </si>
  <si>
    <t xml:space="preserve">Pressure bag</t>
  </si>
  <si>
    <t xml:space="preserve">300 mmHg — Continuous flush ≈ 3 mL/h. A soft bag lets blood back up and damps the trace.</t>
  </si>
  <si>
    <t xml:space="preserve">lines:Fast-flush (square-wave) test</t>
  </si>
  <si>
    <t xml:space="preserve">Fast-flush (square-wave) test</t>
  </si>
  <si>
    <t xml:space="preserve">1.5–2 oscillations — &gt; 2: underdamped (SBP high, DBP low). &lt; 1.5: overdamped (SBP low, DBP high). MAP holds.</t>
  </si>
  <si>
    <t xml:space="preserve">lines:Natural frequency</t>
  </si>
  <si>
    <t xml:space="preserve">Natural frequency</t>
  </si>
  <si>
    <t xml:space="preserve">&gt; 15–20 Hz — Long compliant tubing, many stopcocks and small bubbles lower it.</t>
  </si>
  <si>
    <t xml:space="preserve">lines:Damping coefficient ζ</t>
  </si>
  <si>
    <t xml:space="preserve">Damping coefficient ζ</t>
  </si>
  <si>
    <t xml:space="preserve">≈ 0.4–0.7 — The lower the natural frequency, the higher ζ must be to avoid overshoot.</t>
  </si>
  <si>
    <t xml:space="preserve">lines:Zeroing</t>
  </si>
  <si>
    <t xml:space="preserve">Zeroing</t>
  </si>
  <si>
    <t xml:space="preserve">Open to air at the axis — At set-up, after disconnecting the transducer or cable, when values are doubtful, and per policy. Re-LEVEL (not re-zero) after any move of the patient or transducer.</t>
  </si>
  <si>
    <t xml:space="preserve">lab:na</t>
  </si>
  <si>
    <t xml:space="preserve">Labs › Electrolytes</t>
  </si>
  <si>
    <t xml:space="preserve">Sodium (Na⁺)</t>
  </si>
  <si>
    <t xml:space="preserve">Normal 135–145 mEq/L; critical 120 / 160. High (Hypernatraemia): Water loss without access to water (elderly, intubated); Diabetes insipidus; Osmotic diuresis; Hypertonic saline or bicarbonate — Water leaves cells: brain cells shrink → confusion, seizures, tearing of bridging veins.. Low (Hyponatraemia): SIADH (pain, nausea, drugs, lung/brain disease); Heart, liver or kidney failure; Thiazides; Excess free water, beer potomania — Water moves into cells: brain swells inside a rigid skull → headache, vomiting, seizures, herniation.</t>
  </si>
  <si>
    <t xml:space="preserve">lab:k</t>
  </si>
  <si>
    <t xml:space="preserve">Potassium (K⁺)</t>
  </si>
  <si>
    <t xml:space="preserve">Normal 3.5–5 mEq/L; critical 2.5 / 6.5. High (Hyperkalaemia): Kidney failure; ACE-i/ARB, spironolactone, trimethoprim; Cell breakdown: rhabdomyolysis, tumour lysis, haemolysis; Acidosis, insulin deficiency (DKA) — shift out of cells — Resting potential rises toward threshold: peaked T → long PR, flat P → wide QRS → sine wave → VF or asystole.. Low (Hypokalaemia): Diuretics; Vomiting, diarrhoea; Insulin, β₂-agonists, alkalosis (shift in); Low magnesium — Hyperpolarised, slow-repolarising cells: flat T, U waves, arrhythmias (especially with digoxin), weakness, ileus.</t>
  </si>
  <si>
    <t xml:space="preserve">lab:cl</t>
  </si>
  <si>
    <t xml:space="preserve">Chloride (Cl⁻)</t>
  </si>
  <si>
    <t xml:space="preserve">Normal 98–107 mEq/L. High (Hyperchloraemia): Large volumes of 0.9 % saline; Diarrhoea (HCO₃⁻ loss); Renal tubular acidosis — Normal-anion-gap metabolic acidosis.. Low (Hypochloraemia): Vomiting / NG suction; Loop and thiazide diuretics; Chronic respiratory acidosis compensation — Maintains metabolic alkalosis — the kidney cannot excrete HCO₃⁻ without chloride.</t>
  </si>
  <si>
    <t xml:space="preserve">lab:hco3</t>
  </si>
  <si>
    <t xml:space="preserve">Bicarbonate (total CO₂) (HCO₃⁻)</t>
  </si>
  <si>
    <t xml:space="preserve">Normal 22–29 mEq/L; critical 10 / 40. High (Metabolic alkalosis (or compensation)): Vomiting, diuretics; Compensation for chronic CO₂ retention; Bicarbonate / citrate load — Alkalaemia: low ionised calcium and potassium, arrhythmias, hypoventilation.. Low (Metabolic acidosis (or compensation)): Lactate, ketones, toxins, uraemia (gap); Diarrhoea, saline, RTA (non-gap); Compensation for chronic hyperventilation — Acidaemia: Kussmaul breathing, poor cardiac contractility, vasodilatation, hyperkalaemia.</t>
  </si>
  <si>
    <t xml:space="preserve">lab:ca</t>
  </si>
  <si>
    <t xml:space="preserve">Calcium (ionised) (iCa²⁺)</t>
  </si>
  <si>
    <t xml:space="preserve">Normal 1.12–1.32 mmol/L; critical 0.8 / 1.6. High (Hypercalcaemia): Hyperparathyroidism; Cancer (bone metastases, PTHrP); Vitamin D excess, thiazides — "Stones, bones, groans, moans": short QT, dehydration from nephrogenic DI, confusion.. Low (Hypocalcaemia): Massive transfusion (citrate); Sepsis, pancreatitis; Low magnesium, hypoparathyroidism; Alkalosis (more binding to albumin) — Neuromuscular irritability — tingling, tetany, laryngospasm, seizures; long QT; hypotension; poor clotting.</t>
  </si>
  <si>
    <t xml:space="preserve">lab:mg</t>
  </si>
  <si>
    <t xml:space="preserve">Magnesium (Mg²⁺)</t>
  </si>
  <si>
    <t xml:space="preserve">Normal 1.7–2.3 mg/dL. High (Hypermagnesaemia): Kidney failure; Magnesium infusion (pre-eclampsia) — Loss of reflexes, hypotension, respiratory depression, heart block.. Low (Hypomagnesaemia): Alcohol, malnutrition; Diuretics, PPIs; Diarrhoea, refeeding — Long QT and torsades; refractory low potassium and calcium.</t>
  </si>
  <si>
    <t xml:space="preserve">lab:phos</t>
  </si>
  <si>
    <t xml:space="preserve">Phosphate (PO₄³⁻)</t>
  </si>
  <si>
    <t xml:space="preserve">Normal 2.5–4.5 mg/dL. High (Hyperphosphataemia): Kidney failure; Tumour lysis, rhabdomyolysis — Binds calcium → hypocalcaemia and calcium-phosphate deposition.. Low (Hypophosphataemia): Refeeding syndrome; DKA treatment; Alcohol, respiratory alkalosis — No ATP: diaphragm weakness, failure to wean, haemolysis, heart failure.</t>
  </si>
  <si>
    <t xml:space="preserve">lab:bun</t>
  </si>
  <si>
    <t xml:space="preserve">Labs › Kidney</t>
  </si>
  <si>
    <t xml:space="preserve">Blood urea nitrogen (BUN)</t>
  </si>
  <si>
    <t xml:space="preserve">Normal 7–20 mg/dL. High (Raised BUN): Reduced GFR (AKI, CKD); Dehydration (more reabsorption); GI bleeding, steroids, high protein feeds — Uraemia: nausea, pericarditis, platelet dysfunction, encephalopathy.. Low (Low BUN): Liver failure; Malnutrition; Overhydration, pregnancy — Usually a clue, not a problem.</t>
  </si>
  <si>
    <t xml:space="preserve">lab:cr</t>
  </si>
  <si>
    <t xml:space="preserve">Creatinine (Cr)</t>
  </si>
  <si>
    <t xml:space="preserve">Normal 0.6–1.2 mg/dL. High (Raised creatinine): AKI: pre-renal, intrinsic (ATN), obstruction; CKD; High muscle mass, some drugs (trimethoprim) — Signals falling GFR: drug accumulation, fluid, potassium and acid retention.. Low (Low creatinine): Low muscle mass (elderly, amputees, critical illness); Pregnancy — May hide real kidney impairment.</t>
  </si>
  <si>
    <t xml:space="preserve">lab:egfr</t>
  </si>
  <si>
    <t xml:space="preserve">Estimated GFR (eGFR)</t>
  </si>
  <si>
    <t xml:space="preserve">Normal 90–130 mL/min/1.73m². High (High eGFR): Hyperfiltration: pregnancy, early diabetes, augmented renal clearance in young trauma/sepsis — Antibiotics cleared faster than expected.. Low (Low eGFR): CKD; AKI (unreliable until creatinine is steady) — Adjust drug doses; watch K⁺, acid and fluid.</t>
  </si>
  <si>
    <t xml:space="preserve">lab:glu</t>
  </si>
  <si>
    <t xml:space="preserve">Labs › Metabolic</t>
  </si>
  <si>
    <t xml:space="preserve">Glucose (Glu)</t>
  </si>
  <si>
    <t xml:space="preserve">Normal 70–140 mg/dL; critical 50 / 500. High (Hyperglycaemia): Diabetes, DKA/HHS; Stress, steroids, sepsis; Dextrose infusions — Osmotic diuresis → dehydration; poor wound healing and infection; each 100 mg/dL lowers measured Na⁺ ≈ 1.6.. Low (Hypoglycaemia): Insulin or sulfonylureas; Liver failure, sepsis, alcohol; Adrenal insufficiency — Neuroglycopenia: confusion, seizures, coma; sympathetic surge (sweating, tachycardia).</t>
  </si>
  <si>
    <t xml:space="preserve">lab:ag</t>
  </si>
  <si>
    <t xml:space="preserve">Anion gap (AG)</t>
  </si>
  <si>
    <t xml:space="preserve">Normal 8–12 mEq/L. High (High anion gap): Lactate; Ketones; Toxic alcohols, salicylate; Uraemia — A high-gap metabolic acidosis — find the acid.. Low (Low anion gap): Low albumin (≈ −2.5 per g/dL); Lithium, myeloma, bromide — Mostly a clue that the gap needs correcting for albumin.</t>
  </si>
  <si>
    <t xml:space="preserve">lab:lac</t>
  </si>
  <si>
    <t xml:space="preserve">Lactate (Lac)</t>
  </si>
  <si>
    <t xml:space="preserve">Normal 0.5–2 mmol/L; critical — / 4. High (Hyperlactataemia): Shock / hypoperfusion (type A); Adrenaline, salbutamol, sepsis (aerobic glycolysis); Liver failure (poor clearance); Metformin, seizures, thiamine deficiency — High-AG metabolic acidosis; a strong marker of risk.. Low (Low lactate): Normal — —</t>
  </si>
  <si>
    <t xml:space="preserve">lab:ket</t>
  </si>
  <si>
    <t xml:space="preserve">Ketones (β-hydroxybutyrate) (BHB)</t>
  </si>
  <si>
    <t xml:space="preserve">Normal 0–0.6 mmol/L; critical — / 3. High (Ketosis / ketoacidosis): DKA (insulin deficiency); Starvation, alcohol; SGLT2 inhibitors (euglycaemic DKA) — Strong acids → high-AG acidosis.. Low (Absent): Normal fed state — —</t>
  </si>
  <si>
    <t xml:space="preserve">lab:hb</t>
  </si>
  <si>
    <t xml:space="preserve">Labs › Blood count</t>
  </si>
  <si>
    <t xml:space="preserve">Haemoglobin (Hb)</t>
  </si>
  <si>
    <t xml:space="preserve">Normal 13–17 g/dL; critical 7 / —. High (Polycythaemia): Chronic hypoxaemia (COPD, altitude); Polycythaemia vera; Dehydration (relative) — Viscous blood → thrombosis, stroke.. Low (Anaemia): Bleeding; Haemolysis; Iron/B12/folate deficiency, marrow failure, CKD — Less oxygen content with a NORMAL SpO₂ — tachycardia, breathlessness, ischaemia.</t>
  </si>
  <si>
    <t xml:space="preserve">lab:hct</t>
  </si>
  <si>
    <t xml:space="preserve">Haematocrit (Hct)</t>
  </si>
  <si>
    <t xml:space="preserve">Normal 40–50 %. High (High haematocrit): Dehydration; Polycythaemia — Viscosity rises steeply above ~55 %.. Low (Low haematocrit): Anaemia; Haemodilution — Lower oxygen content.</t>
  </si>
  <si>
    <t xml:space="preserve">lab:rbc</t>
  </si>
  <si>
    <t xml:space="preserve">Red cell count (RBC)</t>
  </si>
  <si>
    <t xml:space="preserve">Normal 4.5–5.9 ×10¹²/L. High (Erythrocytosis): Hypoxia; Thalassaemia trait (many small cells) — As for high Hb.. Low (Low red cell count): Anaemia of any cause — As for low Hb.</t>
  </si>
  <si>
    <t xml:space="preserve">lab:wbc</t>
  </si>
  <si>
    <t xml:space="preserve">White cell count (WBC)</t>
  </si>
  <si>
    <t xml:space="preserve">Normal 4–11 ×10⁹/L; critical 1 / 30. High (Leucocytosis): Infection, inflammation; Steroids, adrenaline (demargination); Leukaemia — A marker, not a diagnosis.. Low (Leucopenia): Chemotherapy; Overwhelming sepsis; Viral infection, drugs — Neutrophils &lt; 0.5 × 10⁹/L: high risk of severe infection.</t>
  </si>
  <si>
    <t xml:space="preserve">lab:plt</t>
  </si>
  <si>
    <t xml:space="preserve">Platelets (Plt)</t>
  </si>
  <si>
    <t xml:space="preserve">Normal 150–400 ×10⁹/L; critical 20 / 1000. High (Thrombocytosis): Inflammation, iron deficiency, after splenectomy; Myeloproliferative disease — Usually reactive; clotting risk when very high.. Low (Thrombocytopenia): Sepsis/DIC, dilution; Heparin (HIT), drugs, ITP; Liver disease (splenic pooling), marrow failure — Bleeding: petechiae, mucosal oozing; spontaneous bleeding &lt; 10–20 × 10⁹/L.</t>
  </si>
  <si>
    <t xml:space="preserve">lab:pt</t>
  </si>
  <si>
    <t xml:space="preserve">Labs › Coagulation</t>
  </si>
  <si>
    <t xml:space="preserve">Prothrombin time (PT)</t>
  </si>
  <si>
    <t xml:space="preserve">Normal 11–13.5 s. High (Prolonged PT): Warfarin, vitamin K deficiency; Liver failure; DIC, dilution — Bleeding tendency.. Low (Short PT): Not clinically important — —</t>
  </si>
  <si>
    <t xml:space="preserve">lab:inr</t>
  </si>
  <si>
    <t xml:space="preserve">INR (INR)</t>
  </si>
  <si>
    <t xml:space="preserve">Normal 0.9–1.1 ; critical — / 5. High (High INR): Warfarin; Liver failure; Vitamin K deficiency, DIC — Bleeding risk rises steeply above 4–5.. Low (Normal): — — —</t>
  </si>
  <si>
    <t xml:space="preserve">lab:aptt</t>
  </si>
  <si>
    <t xml:space="preserve">Activated partial thromboplastin time (aPTT)</t>
  </si>
  <si>
    <t xml:space="preserve">Normal 25–35 s. High (Prolonged aPTT): Heparin; Haemophilia A/B, von Willebrand; Lupus anticoagulant (clots in vivo!); DIC, dilution — Bleeding (except lupus anticoagulant).. Low (Short aPTT): Acute-phase high factor VIII — Not usually important.</t>
  </si>
  <si>
    <t xml:space="preserve">lab:fib</t>
  </si>
  <si>
    <t xml:space="preserve">Fibrinogen (Fib)</t>
  </si>
  <si>
    <t xml:space="preserve">Normal 200–400 mg/dL; critical 100 / —. High (High fibrinogen): Inflammation, pregnancy — Thrombosis risk marker.. Low (Low fibrinogen): Massive haemorrhage (first factor to run out); DIC; Liver failure — Clots are weak — bleeding continues.</t>
  </si>
  <si>
    <t xml:space="preserve">lab:trop</t>
  </si>
  <si>
    <t xml:space="preserve">Labs › Cardiac</t>
  </si>
  <si>
    <t xml:space="preserve">Troponin (high-sensitivity) (hs-TnT)</t>
  </si>
  <si>
    <t xml:space="preserve">Normal 0–14 ng/L. High (Raised troponin): Myocardial infarction (type 1); Supply–demand mismatch: sepsis, tachycardia, anaemia (type 2); Myocarditis, PE, kidney failure — Myocardial injury — the rise and fall pattern and the clinical picture decide if it is infarction.. Low (Normal): — — —</t>
  </si>
  <si>
    <t xml:space="preserve">lab:bnp</t>
  </si>
  <si>
    <t xml:space="preserve">B-type natriuretic peptide (BNP)</t>
  </si>
  <si>
    <t xml:space="preserve">Normal 0–100 pg/mL. High (Raised BNP): Heart failure; PE, pulmonary hypertension; Kidney failure, age, sepsis — Marks ventricular strain.. Low (Low BNP): Normal; obesity lowers it — A low BNP makes heart failure unlikely as the cause of breathlessness.</t>
  </si>
  <si>
    <t xml:space="preserve">lab:ast</t>
  </si>
  <si>
    <t xml:space="preserve">Labs › Liver</t>
  </si>
  <si>
    <t xml:space="preserve">Aspartate aminotransferase (AST)</t>
  </si>
  <si>
    <t xml:space="preserve">Normal 10–40 U/L. High (Raised AST): Hepatitis, ischaemic ("shock") liver; Alcohol (AST:ALT &gt; 2); Rhabdomyolysis, haemolysis, MI — Marks cell injury — not liver function.. Low (Normal): — — —</t>
  </si>
  <si>
    <t xml:space="preserve">lab:alt</t>
  </si>
  <si>
    <t xml:space="preserve">Alanine aminotransferase (ALT)</t>
  </si>
  <si>
    <t xml:space="preserve">Normal 7–56 U/L. High (Raised ALT): Viral, drug (paracetamol) or ischaemic hepatitis; Fatty liver — Liver cell injury.. Low (Normal): — — —</t>
  </si>
  <si>
    <t xml:space="preserve">lab:alp</t>
  </si>
  <si>
    <t xml:space="preserve">Alkaline phosphatase (ALP)</t>
  </si>
  <si>
    <t xml:space="preserve">Normal 44–147 U/L. High (Raised ALP): Biliary obstruction (stones, cancer), cholestatic drugs; Bone growth, Paget’s, metastases; Pregnancy (placenta) — Cholestatic pattern when it rises with bilirubin and GGT.. Low (Low ALP): Malnutrition, zinc deficiency, hypophosphatasia — Rarely important.</t>
  </si>
  <si>
    <t xml:space="preserve">lab:bili</t>
  </si>
  <si>
    <t xml:space="preserve">Bilirubin (total) (Bili)</t>
  </si>
  <si>
    <t xml:space="preserve">Normal 0.1–1.2 mg/dL. High (Hyperbilirubinaemia): Haemolysis (unconjugated); Hepatitis, cirrhosis; Biliary obstruction (conjugated); Gilbert’s, sepsis — Jaundice; very high unconjugated bilirubin is toxic to the newborn brain.. Low (Low bilirubin): Not important — —</t>
  </si>
  <si>
    <t xml:space="preserve">lab:alb</t>
  </si>
  <si>
    <t xml:space="preserve">Albumin (Alb)</t>
  </si>
  <si>
    <t xml:space="preserve">Normal 3.5–5 g/dL. High (High albumin): Dehydration — —. Low (Hypoalbuminaemia): Inflammation (negative acute-phase); Liver failure, malnutrition; Nephrotic syndrome, burns — Oedema; low total calcium; lower anion gap; more free drug.</t>
  </si>
  <si>
    <t xml:space="preserve">vo:eom1</t>
  </si>
  <si>
    <t xml:space="preserve">Ventilator › Learn › One equation runs the ventilator › The equation of motion</t>
  </si>
  <si>
    <t xml:space="preserve">eom1</t>
  </si>
  <si>
    <t xml:space="preserve">Every pressure on a ventilator screen comes from one equation. Airway pressure equals resistance times flow, plus volume divided by compliance, plus PEEP. The ventilator is pushing gas through a tube and a tree of airways, and stretching an elastic lung that already sits at PEEP. Watch the lungs: each breath, the bases move down with the diaphragm.</t>
  </si>
  <si>
    <t xml:space="preserve">vo:eom2</t>
  </si>
  <si>
    <t xml:space="preserve">Ventilator › Learn › One equation runs the ventilator › Square flow, rising pressure</t>
  </si>
  <si>
    <t xml:space="preserve">eom2</t>
  </si>
  <si>
    <t xml:space="preserve">In volume control with a square wave, flow is constant during inspiration. Look at the pressure trace. It jumps up the instant flow starts. That jump is resistance times flow. After the jump, pressure keeps climbing in a straight line, because as volume goes in, the elastic lung pushes back harder. The top of that climb is the peak inspiratory pressure, PIP.</t>
  </si>
  <si>
    <t xml:space="preserve">vo:eom3</t>
  </si>
  <si>
    <t xml:space="preserve">Ventilator › Learn › One equation runs the ventilator › Stop the flow: plateau</t>
  </si>
  <si>
    <t xml:space="preserve">eom3</t>
  </si>
  <si>
    <t xml:space="preserve">Now an inspiratory hold. The valves close and flow drops to zero. With no flow, the resistance term disappears, so the pressure falls from the peak to a plateau. What is left is purely elastic: how hard the stretched lung and chest wall are pushing back. That is the plateau pressure. The drop from peak to plateau tells you about the airways. The plateau tells you about the lung.</t>
  </si>
  <si>
    <t xml:space="preserve">vo:eom4</t>
  </si>
  <si>
    <t xml:space="preserve">Ventilator › Learn › One equation runs the ventilator › Driving pressure and compliance</t>
  </si>
  <si>
    <t xml:space="preserve">eom4</t>
  </si>
  <si>
    <t xml:space="preserve">Plateau minus PEEP is the driving pressure. It is the pressure needed to fit this tidal volume into this lung. Divide the tidal volume by the driving pressure and you get static compliance. Normal is about sixty to eighty milliliters per centimeter of water. The coloured bar under the numbers splits the peak pressure into its three parts: PEEP, elastic, and resistive.</t>
  </si>
  <si>
    <t xml:space="preserve">vo:eom5</t>
  </si>
  <si>
    <t xml:space="preserve">Ventilator › Learn › One equation runs the ventilator › Passive exhalation and tau</t>
  </si>
  <si>
    <t xml:space="preserve">eom5</t>
  </si>
  <si>
    <t xml:space="preserve">Expiration is passive. The lung empties like a spring through a narrow tube, so flow is highest at the start and decays exponentially. The time constant, tau, is resistance times compliance. After one tau, about sixty three percent of the breath is out. After three tau, about ninety five percent. Here tau is under half a second, so the lung is empty long before the next breath.</t>
  </si>
  <si>
    <t xml:space="preserve">vo:rc1</t>
  </si>
  <si>
    <t xml:space="preserve">Ventilator › Learn › Resistance or compliance? › Narrow airways</t>
  </si>
  <si>
    <t xml:space="preserve">rc1</t>
  </si>
  <si>
    <t xml:space="preserve">This is severe bronchospasm. The airways in the translucent lungs are narrowed and inflamed. Look at the pressure: the peak is high, but the plateau after the pause is almost normal. The gap between them is huge. Resistance has gone up, compliance has not. The pressure is being spent pushing gas through the airways, not stretching the alveoli.</t>
  </si>
  <si>
    <t xml:space="preserve">vo:rc2</t>
  </si>
  <si>
    <t xml:space="preserve">Ventilator › Learn › Resistance or compliance? › Open the airways</t>
  </si>
  <si>
    <t xml:space="preserve">rc2</t>
  </si>
  <si>
    <t xml:space="preserve">A bronchodilator relaxes the smooth muscle. Airway resistance depends on the fourth power of the radius, so a small increase in calibre makes a large drop in resistance. Watch the airways widen, and the peak pressure fall toward the plateau. Time is compressed here: fifteen minutes of drug effect in about fifteen seconds.</t>
  </si>
  <si>
    <t xml:space="preserve">vo:rc3</t>
  </si>
  <si>
    <t xml:space="preserve">Ventilator › Learn › Resistance or compliance? › A stiff lung</t>
  </si>
  <si>
    <t xml:space="preserve">rc3</t>
  </si>
  <si>
    <t xml:space="preserve">Now a stiff, injured lung. Peak and plateau have both risen, and the gap between them is normal. The same tidal volume needs much more pressure to fit, because a large part of the lung is collapsed and the rest is stiff. That is a compliance problem.</t>
  </si>
  <si>
    <t xml:space="preserve">vo:rc4</t>
  </si>
  <si>
    <t xml:space="preserve">Ventilator › Learn › Resistance or compliance? › The rule</t>
  </si>
  <si>
    <t xml:space="preserve">rc4</t>
  </si>
  <si>
    <t xml:space="preserve">So, when the high-pressure alarm sounds, do an inspiratory hold. High peak with a normal plateau means resistance: kinked or bitten tube, secretions, bronchospasm. High peak with a high plateau means compliance: pneumothorax, mainstem intubation, pulmonary oedema, abdominal distension, or a stiff chest wall.</t>
  </si>
  <si>
    <t xml:space="preserve">vo:vp1</t>
  </si>
  <si>
    <t xml:space="preserve">Ventilator › Learn › Volume control vs pressure control › Volume control</t>
  </si>
  <si>
    <t xml:space="preserve">vp1</t>
  </si>
  <si>
    <t xml:space="preserve">In volume control you choose the tidal volume and the flow. The ventilator guarantees them, and pressure is whatever it takes. If the lung gets stiffer, or the airway narrows, pressure rises. That protects minute ventilation, but you must watch the pressures.</t>
  </si>
  <si>
    <t xml:space="preserve">vo:vp2</t>
  </si>
  <si>
    <t xml:space="preserve">Ventilator › Learn › Volume control vs pressure control › Pressure control</t>
  </si>
  <si>
    <t xml:space="preserve">vp2</t>
  </si>
  <si>
    <t xml:space="preserve">In pressure control you choose the pressure above PEEP and the inspiratory time. The pressure trace is now a square. Flow is high at first, then decays as the lung fills and the pressure difference shrinks. Tidal volume is the result. Here it is similar to before.</t>
  </si>
  <si>
    <t xml:space="preserve">vo:vp3</t>
  </si>
  <si>
    <t xml:space="preserve">Ventilator › Learn › Volume control vs pressure control › Make the lung stiff</t>
  </si>
  <si>
    <t xml:space="preserve">vp3</t>
  </si>
  <si>
    <t xml:space="preserve">Same pressure control settings, but now in a stiff ARDS lung. The pressure is capped, so the volume falls. Look at the tidal volume: much smaller. In pressure modes, a falling tidal volume is your warning sign, just as a rising pressure is in volume modes.</t>
  </si>
  <si>
    <t xml:space="preserve">vo:vp4</t>
  </si>
  <si>
    <t xml:space="preserve">Ventilator › Learn › Volume control vs pressure control › Decelerating flow</t>
  </si>
  <si>
    <t xml:space="preserve">vp4</t>
  </si>
  <si>
    <t xml:space="preserve">Volume control can also use a decelerating flow pattern. It delivers the volume with a lower peak pressure and a more even distribution between fast and slow lung units. The plateau does not change, because the volume and the lung are the same.</t>
  </si>
  <si>
    <t xml:space="preserve">vo:pe1</t>
  </si>
  <si>
    <t xml:space="preserve">Ventilator › Learn › PEEP, recruitment and overdistension › The collapsed, dependent lung</t>
  </si>
  <si>
    <t xml:space="preserve">pe1</t>
  </si>
  <si>
    <t xml:space="preserve">This patient lies on their back. In ARDS, the heavy, wet lung collapses under its own weight, so the posterior, dependent regions are dark and airless. Blood still flows past them, but it picks up no oxygen. That is shunt, and it is why this patient is hypoxic despite a high FiO₂.</t>
  </si>
  <si>
    <t xml:space="preserve">vo:pe2</t>
  </si>
  <si>
    <t xml:space="preserve">Ventilator › Learn › PEEP, recruitment and overdistension › Raise PEEP</t>
  </si>
  <si>
    <t xml:space="preserve">pe2</t>
  </si>
  <si>
    <t xml:space="preserve">Now raise PEEP to fourteen. Collapsed units need a higher pressure to open than to stay open. As PEEP rises, the dark posterior lung turns pink: those units are recruited. The same tidal volume now goes into more alveoli, so the driving pressure falls and compliance improves. Watch the oxygen saturation climb as shunt falls.</t>
  </si>
  <si>
    <t xml:space="preserve">vo:pe3</t>
  </si>
  <si>
    <t xml:space="preserve">Ventilator › Learn › PEEP, recruitment and overdistension › Too much</t>
  </si>
  <si>
    <t xml:space="preserve">pe3</t>
  </si>
  <si>
    <t xml:space="preserve">Now PEEP twenty two. The anterior lung, which was already open, turns pale: it is over-stretched. The pressure volume loop flattens at the top, compliance falls again, and the plateau is above thirty. High intrathoracic pressure also squeezes the great veins, so venous return and blood pressure fall. More PEEP is not always better.</t>
  </si>
  <si>
    <t xml:space="preserve">vo:pe4</t>
  </si>
  <si>
    <t xml:space="preserve">Ventilator › Learn › PEEP, recruitment and overdistension › Find the middle</t>
  </si>
  <si>
    <t xml:space="preserve">pe4</t>
  </si>
  <si>
    <t xml:space="preserve">The best PEEP opens the collapsed lung without over-stretching the open lung. At the bedside we look for the lowest driving pressure, an acceptable plateau, and oxygenation, while watching blood pressure. Try it yourself in explore mode.</t>
  </si>
  <si>
    <t xml:space="preserve">vo:au1</t>
  </si>
  <si>
    <t xml:space="preserve">Ventilator › Learn › Auto-PEEP and the time constant › Flow that never reaches zero</t>
  </si>
  <si>
    <t xml:space="preserve">au1</t>
  </si>
  <si>
    <t xml:space="preserve">In severe asthma the time constant is long. Look at the expiratory flow: it is still negative when the next breath begins. The lung has not finished emptying. Each breath leaves a little gas behind, until the lung sits at a higher volume. That trapped gas has pressure: intrinsic PEEP, or auto-PEEP.</t>
  </si>
  <si>
    <t xml:space="preserve">vo:au2</t>
  </si>
  <si>
    <t xml:space="preserve">Ventilator › Learn › Auto-PEEP and the time constant › Measure it</t>
  </si>
  <si>
    <t xml:space="preserve">au2</t>
  </si>
  <si>
    <t xml:space="preserve">An expiratory hold closes the valves at the end of expiration. The trapped alveolar pressure equilibrates with the airway, and the pressure rises above set PEEP. The difference is auto-PEEP. It adds to plateau pressure, compresses the heart, and makes the patient work harder to trigger.</t>
  </si>
  <si>
    <t xml:space="preserve">vo:au3</t>
  </si>
  <si>
    <t xml:space="preserve">Ventilator › Learn › Auto-PEEP and the time constant › Give it time</t>
  </si>
  <si>
    <t xml:space="preserve">au3</t>
  </si>
  <si>
    <t xml:space="preserve">The most powerful fix is expiratory time. Lower the rate, and shorten inspiration with a higher flow. Now expiratory flow reaches zero before the next breath, and the auto-PEEP disappears. Carbon dioxide may rise. In asthma that is usually accepted: permissive hypercapnia.</t>
  </si>
  <si>
    <t xml:space="preserve">vo:sy1</t>
  </si>
  <si>
    <t xml:space="preserve">Ventilator › Learn › Triggering, cycling and dyssynchrony › Pressure support</t>
  </si>
  <si>
    <t xml:space="preserve">sy1</t>
  </si>
  <si>
    <t xml:space="preserve">In pressure support the patient starts every breath. The red dashed line is the patient’s own muscle effort, which the ventilator cannot see directly. When the effort pulls enough flow past the trigger threshold, the ventilator delivers a set pressure. It stops when flow has fallen to a set percentage of the peak flow: the cycle-off criterion.</t>
  </si>
  <si>
    <t xml:space="preserve">vo:sy2</t>
  </si>
  <si>
    <t xml:space="preserve">Ventilator › Learn › Triggering, cycling and dyssynchrony › Premature cycling</t>
  </si>
  <si>
    <t xml:space="preserve">sy2</t>
  </si>
  <si>
    <t xml:space="preserve">Here the cycle-off threshold is sixty percent. The breath ends while the red effort line is still rising: the patient is still inhaling, but the ventilator has stopped. Look for the dip in expiratory flow right after cycling, and sometimes a second breath.</t>
  </si>
  <si>
    <t xml:space="preserve">vo:sy3</t>
  </si>
  <si>
    <t xml:space="preserve">Ventilator › Learn › Triggering, cycling and dyssynchrony › Delayed cycling</t>
  </si>
  <si>
    <t xml:space="preserve">sy3</t>
  </si>
  <si>
    <t xml:space="preserve">In COPD the flow decays slowly. With a cycle-off of five percent, the ventilator keeps inflating long after the patient has finished. The effort line goes negative: the patient is actively pushing to exhale against the machine. Raising the cycle-off percentage fixes it.</t>
  </si>
  <si>
    <t xml:space="preserve">vo:sy4</t>
  </si>
  <si>
    <t xml:space="preserve">Ventilator › Learn › Triggering, cycling and dyssynchrony › Ineffective efforts</t>
  </si>
  <si>
    <t xml:space="preserve">sy4</t>
  </si>
  <si>
    <t xml:space="preserve">Now watch the expiratory flow between breaths. Small upward bumps appear with each red effort, but no breath follows. Trapped gas means the patient must first overcome auto-PEEP before any flow reaches the sensor. These are ineffective efforts. Try the challenges to diagnose and fix each dyssynchrony yourself.</t>
  </si>
  <si>
    <t xml:space="preserve">vo:ox1</t>
  </si>
  <si>
    <t xml:space="preserve">Blood gas › Learn › Oxygen: from air to mitochondria › Fresh gas in the alveolus</t>
  </si>
  <si>
    <t xml:space="preserve">ox1</t>
  </si>
  <si>
    <t xml:space="preserve">Room air is twenty one percent oxygen. By the time it is warmed, humidified and mixed with carbon dioxide in the alveoli, the alveolar oxygen pressure is about one hundred. The alveolar gas equation says it: FiO₂ times seven hundred and thirteen, minus PaCO₂ divided by zero point eight.</t>
  </si>
  <si>
    <t xml:space="preserve">vo:ox2</t>
  </si>
  <si>
    <t xml:space="preserve">Blood gas › Learn › Oxygen: from air to mitochondria › Blood arrives venous</t>
  </si>
  <si>
    <t xml:space="preserve">ox2</t>
  </si>
  <si>
    <t xml:space="preserve">Here is one alveolar sac and its capillary basket, drawn to scale. Blood arrives from the pulmonary artery dark, about seventy percent saturated. It spreads over the alveoli in a single layer of red cells, separated from the air by a barrier thinner than one micrometre. It leaves bright red, about ninety seven percent saturated, through the pulmonary venule.</t>
  </si>
  <si>
    <t xml:space="preserve">vo:ox3</t>
  </si>
  <si>
    <t xml:space="preserve">Blood gas › Learn › Oxygen: from air to mitochondria › Loading in the first third</t>
  </si>
  <si>
    <t xml:space="preserve">ox3</t>
  </si>
  <si>
    <t xml:space="preserve">Zoom in to a single capillary. Red cells squeeze through one at a time. They take about three quarters of a second to cross, but they are fully loaded in the first third of that time. That reserve is why a healthy person can exercise without desaturating.</t>
  </si>
  <si>
    <t xml:space="preserve">vo:ox4</t>
  </si>
  <si>
    <t xml:space="preserve">Blood gas › Learn › Oxygen: from air to mitochondria › Delivery and extraction</t>
  </si>
  <si>
    <t xml:space="preserve">ox4</t>
  </si>
  <si>
    <t xml:space="preserve">In the muscle, arterial blood gives up oxygen to the mitochondria and picks up carbon dioxide. Oxygen delivery is arterial content times cardiac output: about a thousand millilitres a minute. The tissues use about a quarter of it, so venous blood returns about seventy five percent saturated.</t>
  </si>
  <si>
    <t xml:space="preserve">vo:ox5</t>
  </si>
  <si>
    <t xml:space="preserve">Blood gas › Learn › Oxygen: from air to mitochondria › Anaemia: normal SpO₂, empty blood</t>
  </si>
  <si>
    <t xml:space="preserve">ox5</t>
  </si>
  <si>
    <t xml:space="preserve">Now drop the haemoglobin to six and a half. Look at the arterial gas: PaO₂ and saturation are unchanged, and the pulse oximeter still reads normal. But oxygen content has halved, because content is one point three four times haemoglobin times saturation, plus a tiny dissolved fraction. The tissues must extract more, so venous saturation falls. SpO₂ tells you how full each lorry is, not how many lorries there are.</t>
  </si>
  <si>
    <t xml:space="preserve">vo:hy1</t>
  </si>
  <si>
    <t xml:space="preserve">Blood gas › Learn › Why is the PaO₂ low? › Hypoventilation</t>
  </si>
  <si>
    <t xml:space="preserve">hy1</t>
  </si>
  <si>
    <t xml:space="preserve">First, hypoventilation. Depress the drive, as an opioid would. Less fresh gas reaches the alveoli, so carbon dioxide builds up and, by the alveolar gas equation, alveolar oxygen falls. The lungs themselves are normal, so the A to a gradient stays normal. A little oxygen, or simply more ventilation, fixes it.</t>
  </si>
  <si>
    <t xml:space="preserve">vo:hy2</t>
  </si>
  <si>
    <t xml:space="preserve">Blood gas › Learn › Why is the PaO₂ low? › V/Q mismatch</t>
  </si>
  <si>
    <t xml:space="preserve">hy2</t>
  </si>
  <si>
    <t xml:space="preserve">Now V Q mismatch. Some alveoli get plenty of blood but little air. Blood leaving them is poorly oxygenated, and the A to a gradient widens. This is the commonest cause of hypoxaemia: pneumonia, COPD, asthma, pulmonary embolism.</t>
  </si>
  <si>
    <t xml:space="preserve">vo:hy3</t>
  </si>
  <si>
    <t xml:space="preserve">Blood gas › Learn › Why is the PaO₂ low? › Oxygen fixes V/Q mismatch</t>
  </si>
  <si>
    <t xml:space="preserve">hy3</t>
  </si>
  <si>
    <t xml:space="preserve">Raise the FiO₂ to forty percent. Even poorly ventilated alveoli eventually fill with oxygen-rich gas, so their blood saturates and the PaO₂ rises a lot. V Q mismatch is oxygen responsive.</t>
  </si>
  <si>
    <t xml:space="preserve">vo:hy4</t>
  </si>
  <si>
    <t xml:space="preserve">Blood gas › Learn › Why is the PaO₂ low? › Shunt does not respond</t>
  </si>
  <si>
    <t xml:space="preserve">hy4</t>
  </si>
  <si>
    <t xml:space="preserve">Now shunt: blood passing collapsed or flooded alveoli that receive no gas at all. The dark alveoli are airless, and the blood through them stays venous. Even at one hundred percent oxygen, the PaO₂ barely rises, because extra oxygen never reaches that blood. Shunt needs the alveoli reopened: PEEP, recruitment, treating the cause.</t>
  </si>
  <si>
    <t xml:space="preserve">vo:hy5</t>
  </si>
  <si>
    <t xml:space="preserve">Blood gas › Learn › Why is the PaO₂ low? › Dead space</t>
  </si>
  <si>
    <t xml:space="preserve">hy5</t>
  </si>
  <si>
    <t xml:space="preserve">Finally, dead space: alveoli that are ventilated but not perfused, shown with grey empty capillaries. They waste ventilation, so carbon dioxide clearance falls and the gap between PaCO₂ and end tidal CO₂ widens. Pulmonary embolism, low cardiac output and over-distension all do this.</t>
  </si>
  <si>
    <t xml:space="preserve">vo:rs1</t>
  </si>
  <si>
    <t xml:space="preserve">Blood gas › Learn › CO₂, pH and the kidneys › Acute respiratory acidosis</t>
  </si>
  <si>
    <t xml:space="preserve">rs1</t>
  </si>
  <si>
    <t xml:space="preserve">This patient has taken an opioid. Carbon dioxide has risen to the eighties, and the pH has fallen quickly. Carbon dioxide combines with water to form carbonic acid, which releases hydrogen ions. Haemoglobin and proteins buffer some of them, so bicarbonate rises only about one per ten millimetres of mercury. That is acute compensation.</t>
  </si>
  <si>
    <t xml:space="preserve">vo:rs2</t>
  </si>
  <si>
    <t xml:space="preserve">Blood gas › Learn › CO₂, pH and the kidneys › The acid–base map</t>
  </si>
  <si>
    <t xml:space="preserve">rs2</t>
  </si>
  <si>
    <t xml:space="preserve">Look at the acid base map. The dot sits in the acute respiratory acidosis band. Now we will keep the ventilation the same and let two days pass.</t>
  </si>
  <si>
    <t xml:space="preserve">vo:rs3</t>
  </si>
  <si>
    <t xml:space="preserve">Blood gas › Learn › CO₂, pH and the kidneys › 48 hours later</t>
  </si>
  <si>
    <t xml:space="preserve">rs3</t>
  </si>
  <si>
    <t xml:space="preserve">The kidneys have been excreting acid as ammonium and reclaiming and making new bicarbonate. Bicarbonate has risen by about three and a half per ten millimetres of mercury, and the pH is back near normal, even though the CO₂ has not changed. The dot has moved along its path into the chronic band. This is why a COPD patient can live with a PaCO₂ of sixty.</t>
  </si>
  <si>
    <t xml:space="preserve">vo:rs4</t>
  </si>
  <si>
    <t xml:space="preserve">Blood gas › Learn › CO₂, pH and the kidneys › Post-hypercapnic alkalosis</t>
  </si>
  <si>
    <t xml:space="preserve">rs4</t>
  </si>
  <si>
    <t xml:space="preserve">Now reverse the opioid. Ventilation returns, and CO₂ falls within minutes. But the kidneys need days to give back the extra bicarbonate, so the patient becomes alkalaemic. The same thing happens when a chronic retainer is over-ventilated on a ventilator.</t>
  </si>
  <si>
    <t xml:space="preserve">vo:mt1</t>
  </si>
  <si>
    <t xml:space="preserve">Blood gas › Learn › Metabolic acidosis and the anion gap › Ketoacids consume bicarbonate</t>
  </si>
  <si>
    <t xml:space="preserve">mt1</t>
  </si>
  <si>
    <t xml:space="preserve">Diabetic ketoacidosis. Ketoacids release hydrogen ions, and bicarbonate is used up buffering them. The ketone anions stay behind, unmeasured, so the anion gap, sodium minus chloride plus bicarbonate, widens. This is a high anion gap metabolic acidosis.</t>
  </si>
  <si>
    <t xml:space="preserve">vo:mt2</t>
  </si>
  <si>
    <t xml:space="preserve">Blood gas › Learn › Metabolic acidosis and the anion gap › The lungs compensate</t>
  </si>
  <si>
    <t xml:space="preserve">mt2</t>
  </si>
  <si>
    <t xml:space="preserve">The low pH drives deep, fast breathing, Kussmaul respiration. Winter’s formula predicts the expected PaCO₂: one and a half times bicarbonate plus eight, plus or minus two. If the measured CO₂ is higher, the patient is tiring or sedated: a second, respiratory, problem.</t>
  </si>
  <si>
    <t xml:space="preserve">vo:mt3</t>
  </si>
  <si>
    <t xml:space="preserve">Blood gas › Learn › Metabolic acidosis and the anion gap › Lactate</t>
  </si>
  <si>
    <t xml:space="preserve">mt3</t>
  </si>
  <si>
    <t xml:space="preserve">In septic shock, lactate rises. Some comes from tissues short of oxygen, shown in magenta, but much comes from adrenaline-driven glycolysis and from a liver too poorly perfused to clear it. Lactate is a marker of stress and clearance, not simply of oxygen debt.</t>
  </si>
  <si>
    <t xml:space="preserve">vo:mt4</t>
  </si>
  <si>
    <t xml:space="preserve">Blood gas › Learn › Metabolic acidosis and the anion gap › A mixed disorder</t>
  </si>
  <si>
    <t xml:space="preserve">mt4</t>
  </si>
  <si>
    <t xml:space="preserve">Salicylate poisoning stimulates the respiratory centre directly, causing a respiratory alkalosis, and uncouples oxidative phosphorylation, adding organic acid. The CO₂ is lower than Winter’s formula predicts. Two primary disorders at once. The low CO₂ is protecting the patient: if they are intubated, it must stay low.</t>
  </si>
  <si>
    <t xml:space="preserve">vo:vb1</t>
  </si>
  <si>
    <t xml:space="preserve">Blood gas › Learn › ABG or VBG? › Two sampling sites</t>
  </si>
  <si>
    <t xml:space="preserve">vb1</t>
  </si>
  <si>
    <t xml:space="preserve">An arterial gas samples blood on its way to the tissues. A venous gas samples blood that has already given up oxygen and collected carbon dioxide. In a stable patient, venous pH is about zero point zero three lower and venous CO₂ about five higher. Bicarbonate and lactate are almost the same.</t>
  </si>
  <si>
    <t xml:space="preserve">vo:vb2</t>
  </si>
  <si>
    <t xml:space="preserve">Blood gas › Learn › ABG or VBG? › Venous PO₂ is not oxygenation</t>
  </si>
  <si>
    <t xml:space="preserve">vb2</t>
  </si>
  <si>
    <t xml:space="preserve">Venous PO₂ tells you only what the tissues left behind. A venous PO₂ of forty is normal, not hypoxaemia. To judge oxygenation, use the pulse oximeter or an arterial sample. The app always shows these two samples separately for that reason.</t>
  </si>
  <si>
    <t xml:space="preserve">vo:vb3</t>
  </si>
  <si>
    <t xml:space="preserve">Blood gas › Learn › ABG or VBG? › When they diverge</t>
  </si>
  <si>
    <t xml:space="preserve">vb3</t>
  </si>
  <si>
    <t xml:space="preserve">During cardiac arrest with CPR, blood flow is so low that carbon dioxide piles up in the tissues. Venous CO₂ is far higher than arterial, and the venous pH far lower. When flow is poor, a venous gas no longer mirrors the arterial one.</t>
  </si>
  <si>
    <t xml:space="preserve">vo:hk1</t>
  </si>
  <si>
    <t xml:space="preserve">Labs › Learn › Hyperkalaemia: stabilise, shift, remove › Potassium lives inside cells</t>
  </si>
  <si>
    <t xml:space="preserve">hk1</t>
  </si>
  <si>
    <t xml:space="preserve">Almost all the body’s potassium is inside cells, about one hundred and forty inside against four outside. The sodium potassium pump in the membrane keeps it that way. That steep ratio sets the resting membrane potential of every heart cell, about minus eighty five millivolts.</t>
  </si>
  <si>
    <t xml:space="preserve">vo:hk2</t>
  </si>
  <si>
    <t xml:space="preserve">Labs › Learn › Hyperkalaemia: stabilise, shift, remove › Raise the outside potassium</t>
  </si>
  <si>
    <t xml:space="preserve">hk2</t>
  </si>
  <si>
    <t xml:space="preserve">Now the kidneys have failed and plasma potassium is seven point four. The ratio across the membrane falls, so the resting potential rises toward the threshold. Look at the gap on the membrane gauge: it has shrunk. The ECG shows peaked T waves, flattened P waves and a widening QRS. The heart is close to an arrhythmia.</t>
  </si>
  <si>
    <t xml:space="preserve">vo:hk3</t>
  </si>
  <si>
    <t xml:space="preserve">Labs › Learn › Hyperkalaemia: stabilise, shift, remove › Step one: calcium</t>
  </si>
  <si>
    <t xml:space="preserve">hk3</t>
  </si>
  <si>
    <t xml:space="preserve">Give intravenous calcium. Watch the numbers carefully: the potassium has not changed at all. What changed is the threshold. Calcium moves the threshold potential up, away from the resting potential, and restores the safety gap. The QRS narrows within minutes. Calcium buys time: thirty to sixty minutes.</t>
  </si>
  <si>
    <t xml:space="preserve">vo:hk4</t>
  </si>
  <si>
    <t xml:space="preserve">Labs › Learn › Hyperkalaemia: stabilise, shift, remove › Step two: shift it into cells</t>
  </si>
  <si>
    <t xml:space="preserve">hk4</t>
  </si>
  <si>
    <t xml:space="preserve">Now insulin with dextrose. Insulin switches on the sodium potassium pump, so potassium moves from the blood back into the cells. Plasma potassium falls by around one. Nebulised salbutamol does the same through beta two receptors. But nothing has left the body.</t>
  </si>
  <si>
    <t xml:space="preserve">vo:hk5</t>
  </si>
  <si>
    <t xml:space="preserve">Labs › Learn › Hyperkalaemia: stabilise, shift, remove › The rebound</t>
  </si>
  <si>
    <t xml:space="preserve">hk5</t>
  </si>
  <si>
    <t xml:space="preserve">Five hours later the insulin has worn off, the pumps have slowed, and potassium has leaked back out. This is the rebound. Shifting treatments are temporary. The potassium must be removed.</t>
  </si>
  <si>
    <t xml:space="preserve">vo:hk6</t>
  </si>
  <si>
    <t xml:space="preserve">Labs › Learn › Hyperkalaemia: stabilise, shift, remove › Step three: remove it</t>
  </si>
  <si>
    <t xml:space="preserve">hk6</t>
  </si>
  <si>
    <t xml:space="preserve">Dialysis removes potassium from the body, and so do binders, and diuretics if the kidneys work. Stabilise, shift, remove: in that order, and repeat the ECG and the potassium.</t>
  </si>
  <si>
    <t xml:space="preserve">vo:hn1</t>
  </si>
  <si>
    <t xml:space="preserve">Labs › Learn › Hyponatraemia and the brain › Water follows solute</t>
  </si>
  <si>
    <t xml:space="preserve">hn1</t>
  </si>
  <si>
    <t xml:space="preserve">Sodium is the main solute outside cells. Cell membranes let water through freely, so water moves until the concentration inside and outside is equal. Plasma sodium therefore sets the size of every cell, and the brain is the one organ that has no room to swell.</t>
  </si>
  <si>
    <t xml:space="preserve">vo:hn2</t>
  </si>
  <si>
    <t xml:space="preserve">Labs › Learn › Hyponatraemia and the brain › Acute hyponatraemia</t>
  </si>
  <si>
    <t xml:space="preserve">hn2</t>
  </si>
  <si>
    <t xml:space="preserve">Drop the sodium to one hundred and eighteen over a few hours, as happens with water intoxication or after surgery. Water rushes into brain cells and they swell. Inside the skull, that means headache, vomiting, seizures and eventually herniation. This is an emergency: a small bolus of hypertonic saline, raising the sodium by four to six, pulls water back out.</t>
  </si>
  <si>
    <t xml:space="preserve">vo:hn3</t>
  </si>
  <si>
    <t xml:space="preserve">Labs › Learn › Hyponatraemia and the brain › The brain adapts</t>
  </si>
  <si>
    <t xml:space="preserve">hn3</t>
  </si>
  <si>
    <t xml:space="preserve">If the sodium falls slowly, over days, brain cells export their own solutes, organic osmolytes, and shrink back to a normal size. This patient has the same sodium of one hundred and eighteen, but the brain cells are no longer swollen.</t>
  </si>
  <si>
    <t xml:space="preserve">vo:hn4</t>
  </si>
  <si>
    <t xml:space="preserve">Labs › Learn › Hyponatraemia and the brain › Correcting too fast</t>
  </si>
  <si>
    <t xml:space="preserve">hn4</t>
  </si>
  <si>
    <t xml:space="preserve">Now correct that chronic hyponatraemia too quickly: sixteen in a day. The adapted brain cells cannot re-import their osmolytes fast enough, water is pulled out, and the myelin of the pons can be destroyed. Osmotic demyelination appears days later and may be permanent. Limit correction to about eight to ten in twenty four hours.</t>
  </si>
  <si>
    <t xml:space="preserve">vo:an1</t>
  </si>
  <si>
    <t xml:space="preserve">Labs › Learn › Anaemia: the oximeter cannot see it › Normal blood</t>
  </si>
  <si>
    <t xml:space="preserve">an1</t>
  </si>
  <si>
    <t xml:space="preserve">Here is a capillary full of red cells. Each one is packed with haemoglobin, and each haemoglobin is ninety seven percent saturated with oxygen. Oxygen content is about nineteen millilitres in every decilitre of blood.</t>
  </si>
  <si>
    <t xml:space="preserve">vo:an2</t>
  </si>
  <si>
    <t xml:space="preserve">Labs › Learn › Anaemia: the oximeter cannot see it › Half the red cells</t>
  </si>
  <si>
    <t xml:space="preserve">an2</t>
  </si>
  <si>
    <t xml:space="preserve">Now the haemoglobin is six and a half. There are half as many red cells, but each one is still fully saturated, so the pulse oximeter still reads ninety seven percent. The oxygen content has halved. The heart pumps faster to compensate and the tissues extract more, so venous saturation falls.</t>
  </si>
  <si>
    <t xml:space="preserve">vo:an3</t>
  </si>
  <si>
    <t xml:space="preserve">Labs › Learn › Anaemia: the oximeter cannot see it › Treat the content</t>
  </si>
  <si>
    <t xml:space="preserve">an3</t>
  </si>
  <si>
    <t xml:space="preserve">A unit of red cells raises the haemoglobin by about one gram per decilitre and restores content. Remember: a normal SpO₂ says the haemoglobin present is full, not that there is enough of it.</t>
  </si>
  <si>
    <t xml:space="preserve">vo:lc1</t>
  </si>
  <si>
    <t xml:space="preserve">Labs › Learn › Lactate: made and cleared › A balance</t>
  </si>
  <si>
    <t xml:space="preserve">lc1</t>
  </si>
  <si>
    <t xml:space="preserve">Every cell makes some lactate, and the liver and kidneys clear it. A normal level of about one simply means production and clearance are matched.</t>
  </si>
  <si>
    <t xml:space="preserve">vo:lc2</t>
  </si>
  <si>
    <t xml:space="preserve">Labs › Learn › Lactate: made and cleared › Shock</t>
  </si>
  <si>
    <t xml:space="preserve">lc2</t>
  </si>
  <si>
    <t xml:space="preserve">Now cardiac output falls in shock. Tissues short of oxygen turn more glucose into lactate, and a poorly perfused liver clears less. Lactate climbs. Adrenaline and sepsis raise it further, even when oxygen delivery is adequate, by speeding glycolysis.</t>
  </si>
  <si>
    <t xml:space="preserve">vo:lc3</t>
  </si>
  <si>
    <t xml:space="preserve">Labs › Learn › Lactate: made and cleared › Resuscitation</t>
  </si>
  <si>
    <t xml:space="preserve">lc3</t>
  </si>
  <si>
    <t xml:space="preserve">Restore perfusion and the balance reverses. Lactate falls over hours, as the liver clears it. A falling lactate is one of the best signs that resuscitation is working.</t>
  </si>
  <si>
    <t xml:space="preserve">vo:ln-setup-1</t>
  </si>
  <si>
    <t xml:space="preserve">Lines › Learn › From artery to monitor › A column of saline carries the pressure</t>
  </si>
  <si>
    <t xml:space="preserve">ln-setup-1</t>
  </si>
  <si>
    <t xml:space="preserve">An arterial line is a short cannula in an artery — here the right radial — joined by stiff, saline-filled tubing to a pressure transducer. The fluid column transmits every pressure change to the transducer, which turns it into the waveform and the numbers on the monitor.</t>
  </si>
  <si>
    <t xml:space="preserve">vo:ln-setup-2</t>
  </si>
  <si>
    <t xml:space="preserve">Lines › Learn › From artery to monitor › The radial cannula</t>
  </si>
  <si>
    <t xml:space="preserve">ln-setup-2</t>
  </si>
  <si>
    <t xml:space="preserve">A 20-gauge cannula sits in the radial artery at the wrist. A bag of saline squeezed to 300 mmHg pushes about 3 mL an hour through the line, so blood cannot back up and clot. The bag must stay above the patient’s systolic pressure.</t>
  </si>
  <si>
    <t xml:space="preserve">vo:ln-setup-3</t>
  </si>
  <si>
    <t xml:space="preserve">Lines › Learn › From artery to monitor › The central line</t>
  </si>
  <si>
    <t xml:space="preserve">ln-setup-3</t>
  </si>
  <si>
    <t xml:space="preserve">The central venous catheter enters the right internal jugular vein and runs down through the superior vena cava. Its tip should sit at the cavo-atrial junction, where the SVC meets the right atrium. The pressure there is the central venous pressure — essentially right-atrial pressure.</t>
  </si>
  <si>
    <t xml:space="preserve">vo:ln-setup-4</t>
  </si>
  <si>
    <t xml:space="preserve">Lines › Learn › From artery to monitor › Inside the chest</t>
  </si>
  <si>
    <t xml:space="preserve">ln-setup-4</t>
  </si>
  <si>
    <t xml:space="preserve">Watch the chambers. The atria contract just after each P wave, the ventricles after each QRS. The right atrium glows brighter as its pressure rises, and a pulse wave runs from the aorta to the wrist — it arrives about a tenth of a second after the heart ejects.</t>
  </si>
  <si>
    <t xml:space="preserve">vo:ln-setup-5</t>
  </si>
  <si>
    <t xml:space="preserve">Lines › Learn › From artery to monitor › One reference level for everything</t>
  </si>
  <si>
    <t xml:space="preserve">ln-setup-5</t>
  </si>
  <si>
    <t xml:space="preserve">All the pressures are measured against one reference point: the phlebostatic axis — the fourth intercostal space in the mid-axillary line, roughly the level of the right atrium. The transducer’s air–fluid interface, the zeroing stopcock, must sit level with it.</t>
  </si>
  <si>
    <t xml:space="preserve">vo:ln-art-1</t>
  </si>
  <si>
    <t xml:space="preserve">Lines › Learn › Reading the arterial waveform › Each beat, drawn</t>
  </si>
  <si>
    <t xml:space="preserve">ln-art-1</t>
  </si>
  <si>
    <t xml:space="preserve">The steep upstroke is the left ventricle ejecting into the aorta. The rounded top is the systolic peak. As ejection ends the aortic valve snaps shut, making the dicrotic notch. Then pressure runs off through the arterioles until the next beat: that low point is the diastolic pressure.</t>
  </si>
  <si>
    <t xml:space="preserve">vo:ln-art-2</t>
  </si>
  <si>
    <t xml:space="preserve">Lines › Learn › Reading the arterial waveform › Wrist versus aorta</t>
  </si>
  <si>
    <t xml:space="preserve">ln-art-2</t>
  </si>
  <si>
    <t xml:space="preserve">The radial systolic peak is taller and spikier than in the central aorta and diastolic slightly lower, so the pulse pressure is wider — the wave steepens as it travels out to smaller, stiffer arteries. The mean pressure hardly changes, which is one reason MAP is the number to trust for decisions. Compare the columns in the table: radial versus central aorta.</t>
  </si>
  <si>
    <t xml:space="preserve">vo:ln-art-3</t>
  </si>
  <si>
    <t xml:space="preserve">Lines › Learn › Reading the arterial waveform › A low dicrotic notch</t>
  </si>
  <si>
    <t xml:space="preserve">ln-art-3</t>
  </si>
  <si>
    <t xml:space="preserve">This patient is in vasodilated septic shock. Resistance is so low that blood runs off before the valve even closes: the notch slides down toward the diastolic level, diastolic pressure falls and MAP is below 65.</t>
  </si>
  <si>
    <t xml:space="preserve">vo:ln-art-4</t>
  </si>
  <si>
    <t xml:space="preserve">Lines › Learn › Reading the arterial waveform › Vasopressor effect</t>
  </si>
  <si>
    <t xml:space="preserve">ln-art-4</t>
  </si>
  <si>
    <t xml:space="preserve">Norepinephrine restores vascular tone. Watch diastolic pressure and MAP climb and the notch rise back up the downstroke.</t>
  </si>
  <si>
    <t xml:space="preserve">vo:ln-art-5</t>
  </si>
  <si>
    <t xml:space="preserve">Lines › Learn › Reading the arterial waveform › Stiff arteries</t>
  </si>
  <si>
    <t xml:space="preserve">ln-art-5</t>
  </si>
  <si>
    <t xml:space="preserve">An older, hypertensive patient: the stiff aorta cannot stretch to absorb each stroke, and the reflected wave returns early, during systole. Systolic pressure climbs, diastolic falls, and the pulse pressure widens past 60 mmHg — with a late systolic shoulder.</t>
  </si>
  <si>
    <t xml:space="preserve">vo:ln-cvp-1</t>
  </si>
  <si>
    <t xml:space="preserve">Lines › Learn › Reading the CVP waveform › Three peaks, two descents</t>
  </si>
  <si>
    <t xml:space="preserve">ln-cvp-1</t>
  </si>
  <si>
    <t xml:space="preserve">The a wave follows the P wave: the atrium contracts. The small c wave comes just after the QRS, as the closing tricuspid valve bulges back into the atrium. The x descent is the atrium relaxing and the valve ring being pulled down. The v wave is the atrium filling against the closed valve, near the end of the T wave. The y descent is the valve opening and blood rushing into the ventricle.</t>
  </si>
  <si>
    <t xml:space="preserve">vo:ln-cvp-2</t>
  </si>
  <si>
    <t xml:space="preserve">Lines › Learn › Reading the CVP waveform › Breathing moves the whole trace</t>
  </si>
  <si>
    <t xml:space="preserve">ln-cvp-2</t>
  </si>
  <si>
    <t xml:space="preserve">The shaded bands are breaths in. Breathing spontaneously, each breath in lowers the pressure in the chest, so the whole CVP trace dips. The monitor’s number averages every phase, so it reads a little low.</t>
  </si>
  <si>
    <t xml:space="preserve">vo:ln-cvp-3</t>
  </si>
  <si>
    <t xml:space="preserve">Lines › Learn › Reading the CVP waveform › Measure it yourself</t>
  </si>
  <si>
    <t xml:space="preserve">ln-cvp-3</t>
  </si>
  <si>
    <t xml:space="preserve">The monitor is frozen. Drag across the CVP trace and read the pressure at end-expiration — just before a shaded breath begins — at the base of the c wave. That is the value to record. Compare it with the monitor’s mean.</t>
  </si>
  <si>
    <t xml:space="preserve">vo:ln-cvp-4</t>
  </si>
  <si>
    <t xml:space="preserve">Lines › Learn › Reading the CVP waveform › On the ventilator it flips</t>
  </si>
  <si>
    <t xml:space="preserve">ln-cvp-4</t>
  </si>
  <si>
    <t xml:space="preserve">With positive-pressure ventilation, inspiration raises the pressure in the chest, so the CVP rises with each breath. End-expiration is now the lowest part of the respiratory cycle — still just before the next breath. The rule stays the same: read at end-expiration.</t>
  </si>
  <si>
    <t xml:space="preserve">vo:ln-cvp-5</t>
  </si>
  <si>
    <t xml:space="preserve">Lines › Learn › Reading the CVP waveform › Cannon a waves</t>
  </si>
  <si>
    <t xml:space="preserve">ln-cvp-5</t>
  </si>
  <si>
    <t xml:space="preserve">Complete heart block: atria and ventricles beat independently. When the atrium happens to contract while the tricuspid valve is shut, the blood is pushed back up the jugular: a giant cannon a wave.</t>
  </si>
  <si>
    <t xml:space="preserve">vo:ln-cvp-6</t>
  </si>
  <si>
    <t xml:space="preserve">Lines › Learn › Reading the CVP waveform › No a wave in AF</t>
  </si>
  <si>
    <t xml:space="preserve">ln-cvp-6</t>
  </si>
  <si>
    <t xml:space="preserve">Atrial fibrillation: the atria quiver and never contract as one, so the a wave disappears. You see only c and v, and the arterial pulse varies with every irregular R-R interval.</t>
  </si>
  <si>
    <t xml:space="preserve">vo:ln-cvp-7</t>
  </si>
  <si>
    <t xml:space="preserve">Lines › Learn › Reading the CVP waveform › Giant c-v waves</t>
  </si>
  <si>
    <t xml:space="preserve">ln-cvp-7</t>
  </si>
  <si>
    <t xml:space="preserve">Severe tricuspid regurgitation: the right ventricle pumps backwards into the atrium in every systole. The x descent is filled in by a giant c-v wave that can look almost like a ventricular trace.</t>
  </si>
  <si>
    <t xml:space="preserve">vo:ln-level-1</t>
  </si>
  <si>
    <t xml:space="preserve">Lines › Learn › Levelling and zeroing › Levelled</t>
  </si>
  <si>
    <t xml:space="preserve">ln-level-1</t>
  </si>
  <si>
    <t xml:space="preserve">The transducers are level with the phlebostatic axis. Levelling and zeroing are different jobs: levelling sets the reference height; zeroing tells the monitor what atmospheric pressure reads.</t>
  </si>
  <si>
    <t xml:space="preserve">vo:ln-level-2</t>
  </si>
  <si>
    <t xml:space="preserve">Lines › Learn › Levelling and zeroing › Ten centimetres too low</t>
  </si>
  <si>
    <t xml:space="preserve">ln-level-2</t>
  </si>
  <si>
    <t xml:space="preserve">The transducer has slipped 10 cm below the axis. The extra 10 cm of saline adds 10 × 0.74 = 7.4 mmHg to every reading. An arterial MAP of 95 becomes 102 — but a CVP of 5 becomes 12, more than double. Low transducer, high reading.</t>
  </si>
  <si>
    <t xml:space="preserve">vo:ln-level-3</t>
  </si>
  <si>
    <t xml:space="preserve">Lines › Learn › Levelling and zeroing › Raising the head of the bed</t>
  </si>
  <si>
    <t xml:space="preserve">ln-level-3</t>
  </si>
  <si>
    <t xml:space="preserve">The line was levelled with the bed flat. Now the head of the bed goes up to 30 degrees: the chest — and the phlebostatic axis — rises about 27 cm, but the transducer on the pole stays where it was. Every pressure now reads about 20 mmHg high. Re-level after any change in bed height or position.</t>
  </si>
  <si>
    <t xml:space="preserve">vo:ln-level-4</t>
  </si>
  <si>
    <t xml:space="preserve">Lines › Learn › Levelling and zeroing › Zero to air</t>
  </si>
  <si>
    <t xml:space="preserve">ln-level-4</t>
  </si>
  <si>
    <t xml:space="preserve">Zeroing: turn the stopcock off to the patient and open to air, press zero, then turn it back. The monitor now knows what atmospheric pressure looks like at the level of the stopcock.</t>
  </si>
  <si>
    <t xml:space="preserve">vo:ln-level-5</t>
  </si>
  <si>
    <t xml:space="preserve">Lines › Learn › Levelling and zeroing › The classic mistake</t>
  </si>
  <si>
    <t xml:space="preserve">ln-level-5</t>
  </si>
  <si>
    <t xml:space="preserve">This line was zeroed while the stopcock was still open to the patient. The monitor subtracted the patient’s own pressure: the trace sits around zero and swings negative. The shape is right; the numbers are wrong. Zero again, open to air.</t>
  </si>
  <si>
    <t xml:space="preserve">vo:ln-damp-1</t>
  </si>
  <si>
    <t xml:space="preserve">Lines › Learn › Damping and the square-wave test › An optimally damped line</t>
  </si>
  <si>
    <t xml:space="preserve">ln-damp-1</t>
  </si>
  <si>
    <t xml:space="preserve">Pull the flush for a second and let go. The trace jumps to the bag pressure, drops back, bounces one and a half to two times, then the waveform resumes. That is an optimally damped system: trust the systolic and diastolic values.</t>
  </si>
  <si>
    <t xml:space="preserve">vo:ln-damp-2</t>
  </si>
  <si>
    <t xml:space="preserve">Lines › Learn › Damping and the square-wave test › Underdamped: it rings</t>
  </si>
  <si>
    <t xml:space="preserve">ln-damp-2</t>
  </si>
  <si>
    <t xml:space="preserve">Extra extension tubing and stopcocks lower the natural frequency of the line. Now the flush bounces many times, and each heartbeat sets the line ringing: a spiky systolic overshoot. Systolic reads too high, diastolic slightly low — MAP is the least affected. It gets worse at faster heart rates.</t>
  </si>
  <si>
    <t xml:space="preserve">vo:ln-damp-3</t>
  </si>
  <si>
    <t xml:space="preserve">Lines › Learn › Damping and the square-wave test › A small bubble does the same</t>
  </si>
  <si>
    <t xml:space="preserve">ln-damp-3</t>
  </si>
  <si>
    <t xml:space="preserve">A tiny air bubble is very compliant. It drops the natural frequency sharply, so the line resonates and overshoots. Turn the stopcock off to the patient and flush the bubble out through the side port to waste.</t>
  </si>
  <si>
    <t xml:space="preserve">vo:ln-damp-4</t>
  </si>
  <si>
    <t xml:space="preserve">Lines › Learn › Damping and the square-wave test › Overdamped: it smears</t>
  </si>
  <si>
    <t xml:space="preserve">ln-damp-4</t>
  </si>
  <si>
    <t xml:space="preserve">A clot at the tip, a kink, a large bubble or a soft pressure bag absorbs the pulse. The flush slides back with no bounce, the notch disappears, systolic reads low and diastolic high. MAP still holds — until the line blocks completely.</t>
  </si>
  <si>
    <t xml:space="preserve">vo:ln-damp-5</t>
  </si>
  <si>
    <t xml:space="preserve">Lines › Learn › Damping and the square-wave test › Never flush a clot forward</t>
  </si>
  <si>
    <t xml:space="preserve">ln-damp-5</t>
  </si>
  <si>
    <t xml:space="preserve">An overdamped arterial line with sluggish blood return: aspirate first, then flush. Flushing a clot forward can embolise into the hand; flushing a bubble toward the patient puts air into the circulation — from a radial line it can even travel back up to the brain. Always clear air out of the side port to waste.</t>
  </si>
  <si>
    <t xml:space="preserve">vo:ln-hl-1</t>
  </si>
  <si>
    <t xml:space="preserve">Lines › Learn › Heart–lung interactions › Pulse-pressure variation</t>
  </si>
  <si>
    <t xml:space="preserve">ln-hl-1</t>
  </si>
  <si>
    <t xml:space="preserve">This patient has lost blood and is on the ventilator. Each positive-pressure breath squeezes blood out of the lungs into the left heart, then limits venous return for the next few beats. An underfilled heart is sensitive to that: the pulse pressure swings by more than 13 %.</t>
  </si>
  <si>
    <t xml:space="preserve">vo:ln-hl-2</t>
  </si>
  <si>
    <t xml:space="preserve">Lines › Learn › Heart–lung interactions › Give fluid, watch PPV fall</t>
  </si>
  <si>
    <t xml:space="preserve">ln-hl-2</t>
  </si>
  <si>
    <t xml:space="preserve">Three 500 mL boluses. Stroke volume rises, the heart moves up the steep part of its Starling curve onto the flat part, and the variation shrinks. The patient was fluid-responsive.</t>
  </si>
  <si>
    <t xml:space="preserve">vo:ln-hl-3</t>
  </si>
  <si>
    <t xml:space="preserve">Lines › Learn › Heart–lung interactions › When PPV lies</t>
  </si>
  <si>
    <t xml:space="preserve">ln-hl-3</t>
  </si>
  <si>
    <t xml:space="preserve">PPV only predicts fluid response with controlled breaths of at least 8 mL/kg, a regular rhythm, no spontaneous effort and a closed chest — and it is unreliable with very stiff lungs, RV failure or raised abdominal pressure. Here the patient breathes on their own: the variation is meaningless.</t>
  </si>
  <si>
    <t xml:space="preserve">vo:ln-hl-4</t>
  </si>
  <si>
    <t xml:space="preserve">Lines › Learn › Heart–lung interactions › Irregular rhythm</t>
  </si>
  <si>
    <t xml:space="preserve">ln-hl-4</t>
  </si>
  <si>
    <t xml:space="preserve">In atrial fibrillation every beat has a different filling time, so pulse pressure varies whatever the volume status. PPV cannot be used.</t>
  </si>
  <si>
    <t xml:space="preserve">vo:ln-hl-5</t>
  </si>
  <si>
    <t xml:space="preserve">Lines › Learn › Heart–lung interactions › Pulsus paradoxus</t>
  </si>
  <si>
    <t xml:space="preserve">ln-hl-5</t>
  </si>
  <si>
    <t xml:space="preserve">Cardiac tamponade, breathing spontaneously. The pericardium limits total heart volume: when the right heart fills on inspiration, the septum bows left and the left ventricle ejects less. Systolic pressure falls more than 10 mmHg with every breath in, the CVP is high, and there is no y descent.</t>
  </si>
  <si>
    <t xml:space="preserve">vo:ln-hl-6</t>
  </si>
  <si>
    <t xml:space="preserve">Lines › Learn › Heart–lung interactions › Drain it</t>
  </si>
  <si>
    <t xml:space="preserve">ln-hl-6</t>
  </si>
  <si>
    <t xml:space="preserve">Pericardiocentesis. As the fluid comes off, the paradox disappears, the CVP falls, the y descent returns and the heart rate slows.</t>
  </si>
  <si>
    <t xml:space="preserve">vo:ln-dz-1</t>
  </si>
  <si>
    <t xml:space="preserve">Lines › Learn › Waveforms of disease › Aortic stenosis</t>
  </si>
  <si>
    <t xml:space="preserve">ln-dz-1</t>
  </si>
  <si>
    <t xml:space="preserve">A narrow valve slows ejection: the upstroke is slow and late (pulsus tardus), the peak small (parvus), often with an anacrotic shoulder, and the notch is faint.</t>
  </si>
  <si>
    <t xml:space="preserve">vo:ln-dz-2</t>
  </si>
  <si>
    <t xml:space="preserve">Lines › Learn › Waveforms of disease › Aortic regurgitation</t>
  </si>
  <si>
    <t xml:space="preserve">ln-dz-2</t>
  </si>
  <si>
    <t xml:space="preserve">Blood falls back into the ventricle in diastole: diastolic pressure is very low, and the ventricle ejects a huge stroke — a steep upstroke, a wide pulse pressure, often a double systolic peak, and no notch.</t>
  </si>
  <si>
    <t xml:space="preserve">vo:ln-dz-3</t>
  </si>
  <si>
    <t xml:space="preserve">Lines › Learn › Waveforms of disease › Failing left ventricle</t>
  </si>
  <si>
    <t xml:space="preserve">ln-dz-3</t>
  </si>
  <si>
    <t xml:space="preserve">Cardiogenic shock: a weak ventricle ejects slowly against high resistance. The upstroke is sluggish, the pulse pressure narrow, and the CVP high. Little pulse-pressure variation: more fluid will not help.</t>
  </si>
  <si>
    <t xml:space="preserve">vo:ln-dz-4</t>
  </si>
  <si>
    <t xml:space="preserve">Lines › Learn › Waveforms of disease › PVCs</t>
  </si>
  <si>
    <t xml:space="preserve">ln-dz-4</t>
  </si>
  <si>
    <t xml:space="preserve">A premature beat fires before the ventricle has filled: a small or absent pulse. The pause that follows lets the next beat fill more, and it is bigger than normal.</t>
  </si>
  <si>
    <t xml:space="preserve">vo:ln-dz-5</t>
  </si>
  <si>
    <t xml:space="preserve">Lines › Learn › Waveforms of disease › Right ventricular failure</t>
  </si>
  <si>
    <t xml:space="preserve">ln-dz-5</t>
  </si>
  <si>
    <t xml:space="preserve">Massive pulmonary embolism: the right ventricle is pressure-loaded. The CVP is high with large a and v waves, the left heart is underfilled and the arterial pulse is narrow.</t>
  </si>
  <si>
    <t xml:space="preserve">vo:ards-1</t>
  </si>
  <si>
    <t xml:space="preserve">Ventilator › Learn › ARDS: open the lung, keep it open, don’t overstretch it › A small, stiff, heavy lung</t>
  </si>
  <si>
    <t xml:space="preserve">ards-1</t>
  </si>
  <si>
    <t xml:space="preserve">Acute respiratory distress syndrome. The lungs are inflamed, heavy with protein-rich fluid, and the dependent regions at the back have collapsed. At a PEEP of five, look at how little of the lung is aerated.</t>
  </si>
  <si>
    <t xml:space="preserve">vo:ards-2</t>
  </si>
  <si>
    <t xml:space="preserve">Ventilator › Learn › ARDS: open the lung, keep it open, don’t overstretch it › Down to the alveoli</t>
  </si>
  <si>
    <t xml:space="preserve">ards-2</t>
  </si>
  <si>
    <t xml:space="preserve">Zoom in to a cluster of alveoli. The upper units are open. The dependent ones at the bottom are collapsed or flooded, and blood keeps flowing past them.</t>
  </si>
  <si>
    <t xml:space="preserve">vo:ards-3</t>
  </si>
  <si>
    <t xml:space="preserve">Ventilator › Learn › ARDS: open the lung, keep it open, don’t overstretch it › Shunt: blood that never meets air</t>
  </si>
  <si>
    <t xml:space="preserve">ards-3</t>
  </si>
  <si>
    <t xml:space="preserve">Follow the red cells past a collapsed alveolus: they leave as blue as they arrived. This is shunt. Extra oxygen cannot reach these units, which is why the saturation barely moves when you raise the FiO2.</t>
  </si>
  <si>
    <t xml:space="preserve">vo:ards-4</t>
  </si>
  <si>
    <t xml:space="preserve">Ventilator › Learn › ARDS: open the lung, keep it open, don’t overstretch it › A thicker barrier, less surfactant</t>
  </si>
  <si>
    <t xml:space="preserve">ards-4</t>
  </si>
  <si>
    <t xml:space="preserve">Across the membrane, the interstitium is swollen and the lining fluid is thick. Surfactant is broken into islands, so alveoli collapse at the end of every breath.</t>
  </si>
  <si>
    <t xml:space="preserve">vo:ards-5</t>
  </si>
  <si>
    <t xml:space="preserve">Ventilator › Learn › ARDS: open the lung, keep it open, don’t overstretch it › Raise the PEEP: recruitment</t>
  </si>
  <si>
    <t xml:space="preserve">ards-5</t>
  </si>
  <si>
    <t xml:space="preserve">Now drop the tidal volume to six millilitres per kilogram and raise the PEEP to sixteen. Pressure at end-expiration holds the dependent alveoli open. Collapsed units re-inflate, the shunt falls, and the blood leaving them turns red.</t>
  </si>
  <si>
    <t xml:space="preserve">vo:ards-6</t>
  </si>
  <si>
    <t xml:space="preserve">Ventilator › Learn › ARDS: open the lung, keep it open, don’t overstretch it › Too much: overdistension</t>
  </si>
  <si>
    <t xml:space="preserve">ards-6</t>
  </si>
  <si>
    <t xml:space="preserve">Push PEEP to twenty-four and the least dependent alveoli are overstretched. Their walls thin, they compress the capillaries around them, and the plateau pressure climbs past thirty.</t>
  </si>
  <si>
    <t xml:space="preserve">vo:ards-7</t>
  </si>
  <si>
    <t xml:space="preserve">Ventilator › Learn › ARDS: open the lung, keep it open, don’t overstretch it › The target</t>
  </si>
  <si>
    <t xml:space="preserve">ards-7</t>
  </si>
  <si>
    <t xml:space="preserve">The goal is in between: enough PEEP to keep the dependent lung open, small tidal volumes of about six millilitres per kilogram, a plateau below thirty and a driving pressure below fifteen. Watch the numbers as you choose.</t>
  </si>
  <si>
    <t xml:space="preserve">vo:ards-8</t>
  </si>
  <si>
    <t xml:space="preserve">Ventilator › Learn › ARDS: open the lung, keep it open, don’t overstretch it › The film at PEEP five</t>
  </si>
  <si>
    <t xml:space="preserve">ards-8</t>
  </si>
  <si>
    <t xml:space="preserve">On a portable film at a PEEP of five, both lungs are white with patchy opacities and air bronchograms, and the heart is a normal size. That is the pattern of ARDS, not of heart failure.</t>
  </si>
  <si>
    <t xml:space="preserve">vo:ards-9</t>
  </si>
  <si>
    <t xml:space="preserve">Ventilator › Learn › ARDS: open the lung, keep it open, don’t overstretch it › The film after recruitment</t>
  </si>
  <si>
    <t xml:space="preserve">ards-9</t>
  </si>
  <si>
    <t xml:space="preserve">At a PEEP of sixteen the same lungs look clearer, because collapsed units have opened and now hold air. The film changes with the ventilator settings, not only with the disease.</t>
  </si>
  <si>
    <t xml:space="preserve">vo:ards-10</t>
  </si>
  <si>
    <t xml:space="preserve">Ventilator › Learn › ARDS: open the lung, keep it open, don’t overstretch it › The probe at PEEP five</t>
  </si>
  <si>
    <t xml:space="preserve">ards-10</t>
  </si>
  <si>
    <t xml:space="preserve">With a probe on the side of the chest at a PEEP of five, the B-lines merge into a white lung, and the dependent lung under the probe is consolidated and airless.</t>
  </si>
  <si>
    <t xml:space="preserve">vo:ards-11</t>
  </si>
  <si>
    <t xml:space="preserve">Ventilator › Learn › ARDS: open the lung, keep it open, don’t overstretch it › The probe after recruitment</t>
  </si>
  <si>
    <t xml:space="preserve">ards-11</t>
  </si>
  <si>
    <t xml:space="preserve">At sixteen there are fewer B-lines and the consolidation has gone: the same recruitment you saw at the alveoli, seen at the bedside in seconds.</t>
  </si>
  <si>
    <t xml:space="preserve">vo:cr-1</t>
  </si>
  <si>
    <t xml:space="preserve">Ventilator › Learn › ARDS vs asthma / COPD: stiff lung or narrow airway? › Peak = resistance + elastance + PEEP</t>
  </si>
  <si>
    <t xml:space="preserve">cr-1</t>
  </si>
  <si>
    <t xml:space="preserve">In volume control with constant flow, the peak pressure has three parts: PEEP, the pressure to stretch the lung — volume divided by compliance — and the pressure to push flow through the airways — resistance times flow. An inspiratory hold stops the flow, and what remains is the plateau.</t>
  </si>
  <si>
    <t xml:space="preserve">vo:cr-2</t>
  </si>
  <si>
    <t xml:space="preserve">Ventilator › Learn › ARDS vs asthma / COPD: stiff lung or narrow airway? › ARDS: a compliance problem</t>
  </si>
  <si>
    <t xml:space="preserve">cr-2</t>
  </si>
  <si>
    <t xml:space="preserve">In ARDS the lung is small and stiff. Peak and plateau are both high and close together: the gap between them — the resistive part — is normal. The fix is about volume and PEEP: smaller breaths, keep the plateau under thirty.</t>
  </si>
  <si>
    <t xml:space="preserve">vo:cr-3</t>
  </si>
  <si>
    <t xml:space="preserve">Ventilator › Learn › ARDS vs asthma / COPD: stiff lung or narrow airway? › Asthma: a resistance problem</t>
  </si>
  <si>
    <t xml:space="preserve">cr-3</t>
  </si>
  <si>
    <t xml:space="preserve">In severe asthma the airways are narrow. The peak pressure is very high, but the plateau is only modestly raised: the big peak-to-plateau gap is resistance. Raising the peak alarm will not help; opening the airways will.</t>
  </si>
  <si>
    <t xml:space="preserve">vo:cr-4</t>
  </si>
  <si>
    <t xml:space="preserve">Ventilator › Learn › ARDS vs asthma / COPD: stiff lung or narrow airway? › Air trapping and auto-PEEP</t>
  </si>
  <si>
    <t xml:space="preserve">cr-4</t>
  </si>
  <si>
    <t xml:space="preserve">Look at the flow trace: expiratory flow has not returned to zero when the next breath starts. Gas is trapped. An expiratory hold measures the pressure it creates: auto-PEEP, on top of the set PEEP. Trapped gas raises intrathoracic pressure and can drop the blood pressure.</t>
  </si>
  <si>
    <t xml:space="preserve">vo:cr-5</t>
  </si>
  <si>
    <t xml:space="preserve">Ventilator › Learn › ARDS vs asthma / COPD: stiff lung or narrow airway? › Treat the airway, give time to exhale</t>
  </si>
  <si>
    <t xml:space="preserve">cr-5</t>
  </si>
  <si>
    <t xml:space="preserve">A bronchodilator lowers resistance and a slower rate lengthens expiration. The peak falls, the gap narrows, expiratory flow reaches zero and the auto-PEEP melts away.</t>
  </si>
  <si>
    <t xml:space="preserve">vo:cr-6</t>
  </si>
  <si>
    <t xml:space="preserve">Ventilator › Learn › ARDS vs asthma / COPD: stiff lung or narrow airway? › COPD: flow limitation</t>
  </si>
  <si>
    <t xml:space="preserve">cr-6</t>
  </si>
  <si>
    <t xml:space="preserve">In COPD the small airways collapse during expiration, limiting flow no matter how hard the patient pushes. The same rules apply: long expiratory times, modest minute ventilation, and measure the trapped pressure.</t>
  </si>
  <si>
    <t xml:space="preserve">vo:cr-7</t>
  </si>
  <si>
    <t xml:space="preserve">Ventilator › Learn › ARDS vs asthma / COPD: stiff lung or narrow airway? › Two films, two problems</t>
  </si>
  <si>
    <t xml:space="preserve">cr-7</t>
  </si>
  <si>
    <t xml:space="preserve">The films tell the same story. The asthmatic lungs are hyperinflated: dark, over-expanded, with low flat diaphragms and a narrow heart, because trapped air cannot get out. The ARDS film was white.</t>
  </si>
  <si>
    <t xml:space="preserve">vo:cr-8</t>
  </si>
  <si>
    <t xml:space="preserve">Ventilator › Learn › ARDS vs asthma / COPD: stiff lung or narrow airway? › The ultrasound difference</t>
  </si>
  <si>
    <t xml:space="preserve">cr-8</t>
  </si>
  <si>
    <t xml:space="preserve">On ultrasound the asthmatic lung slides, with A-lines only: full of air, with no fluid. The ARDS lung showed B-lines everywhere. A stiff lung and a narrow airway look different at the bedside.</t>
  </si>
  <si>
    <t xml:space="preserve">vo:ptx-1</t>
  </si>
  <si>
    <t xml:space="preserve">Ventilator › Learn › Tension pneumothorax on the ventilator › Before</t>
  </si>
  <si>
    <t xml:space="preserve">ptx-1</t>
  </si>
  <si>
    <t xml:space="preserve">A ventilated patient with normal lungs. Note the peak pressure, the saturation and the blood pressure.</t>
  </si>
  <si>
    <t xml:space="preserve">vo:ptx-2</t>
  </si>
  <si>
    <t xml:space="preserve">Ventilator › Learn › Tension pneumothorax on the ventilator › Air under pressure</t>
  </si>
  <si>
    <t xml:space="preserve">ptx-2</t>
  </si>
  <si>
    <t xml:space="preserve">A leak from the right lung lets air into the pleural space with every positive-pressure breath, and it cannot escape. Pleural pressure rises, the right lung collapses toward the hilum, and the mediastinum is pushed away.</t>
  </si>
  <si>
    <t xml:space="preserve">vo:ptx-3</t>
  </si>
  <si>
    <t xml:space="preserve">Ventilator › Learn › Tension pneumothorax on the ventilator › Shunt and falling saturation</t>
  </si>
  <si>
    <t xml:space="preserve">ptx-3</t>
  </si>
  <si>
    <t xml:space="preserve">Down at the alveoli, the compressed lung has collapsed but is still perfused: blood passes through without meeting air, and the saturation falls.</t>
  </si>
  <si>
    <t xml:space="preserve">vo:ptx-4</t>
  </si>
  <si>
    <t xml:space="preserve">Ventilator › Learn › Tension pneumothorax on the ventilator › Obstructive shock</t>
  </si>
  <si>
    <t xml:space="preserve">ptx-4</t>
  </si>
  <si>
    <t xml:space="preserve">The high intrathoracic pressure squeezes the great veins, venous return falls, and cardiac output with it. Peak pressures alarm high, the blood pressure drops and the heart races. This is obstructive shock: a mechanical problem that fluids and pressors cannot fix.</t>
  </si>
  <si>
    <t xml:space="preserve">vo:ptx-5</t>
  </si>
  <si>
    <t xml:space="preserve">Ventilator › Learn › Tension pneumothorax on the ventilator › Decompress</t>
  </si>
  <si>
    <t xml:space="preserve">ptx-5</t>
  </si>
  <si>
    <t xml:space="preserve">Needle decompression, then a chest tube. The pleural air escapes, the lung re-expands, peak pressure falls, venous return and blood pressure recover, and the saturation climbs.</t>
  </si>
  <si>
    <t xml:space="preserve">vo:ptx-6</t>
  </si>
  <si>
    <t xml:space="preserve">Ventilator › Learn › Tension pneumothorax on the ventilator › What the probe would have shown</t>
  </si>
  <si>
    <t xml:space="preserve">ptx-6</t>
  </si>
  <si>
    <t xml:space="preserve">Back to the moment before decompression, seen with a linear probe on the front of the chest. On the right the bright pleural line does not shimmer: no sliding, only A-line echoes, and the M-mode is a barcode. On the left the lung slides and the M-mode looks like a seashore. Ultrasound takes seconds, but it confirms — it should never delay decompression in a crashing patient.</t>
  </si>
  <si>
    <t xml:space="preserve">vo:ptx-7</t>
  </si>
  <si>
    <t xml:space="preserve">Ventilator › Learn › Tension pneumothorax on the ventilator › What the film would have shown</t>
  </si>
  <si>
    <t xml:space="preserve">ptx-7</t>
  </si>
  <si>
    <t xml:space="preserve">The same moment on a portable film: a pleural edge with no lung markings beyond it, a flattened right hemidiaphragm, and the mediastinum pushed to the left. A film like this is a teaching picture; tension is treated on clinical signs.</t>
  </si>
  <si>
    <t xml:space="preserve">vo:ptx-8</t>
  </si>
  <si>
    <t xml:space="preserve">Ventilator › Learn › Tension pneumothorax on the ventilator › A lung point as the lung returns</t>
  </si>
  <si>
    <t xml:space="preserve">ptx-8</t>
  </si>
  <si>
    <t xml:space="preserve">After decompression the tension is gone, but a little air is still trapped at the front of the chest. Anteriorly there is still no sliding. Move the probe laterally: at one spot sliding appears and disappears with each breath — a lung point, the edge of the remaining air. It confirms a pneumothorax, and it moves outward as the drain lets the lung come back.</t>
  </si>
  <si>
    <t xml:space="preserve">vo:nd-1</t>
  </si>
  <si>
    <t xml:space="preserve">Ventilator › Learn › Needle thoracostomy: site, rib, depth › Tension on the ventilator</t>
  </si>
  <si>
    <t xml:space="preserve">nd-1</t>
  </si>
  <si>
    <t xml:space="preserve">A ventilated patient with a right tension pneumothorax: high peak and plateau pressures, falling saturation, blood pressure collapsing. The treatment is to let the pleural air out — now.</t>
  </si>
  <si>
    <t xml:space="preserve">vo:nd-2</t>
  </si>
  <si>
    <t xml:space="preserve">Ventilator › Learn › Needle thoracostomy: site, rib, depth › Two sites</t>
  </si>
  <si>
    <t xml:space="preserve">nd-2</t>
  </si>
  <si>
    <t xml:space="preserve">Two recognised sites: the second intercostal space in the mid-clavicular line, and the fourth or fifth space at the anterior or mid-axillary line, inside the safe triangle. Stay lateral to the nipple line and above it.</t>
  </si>
  <si>
    <t xml:space="preserve">vo:nd-3</t>
  </si>
  <si>
    <t xml:space="preserve">Ventilator › Learn › Needle thoracostomy: site, rib, depth › Over the top of the rib</t>
  </si>
  <si>
    <t xml:space="preserve">nd-3</t>
  </si>
  <si>
    <t xml:space="preserve">Look at the rib above: its lower edge hides the intercostal vein, artery and nerve. A needle under the upper rib risks bleeding into the chest you are trying to decompress. Go over the top of the rib below.</t>
  </si>
  <si>
    <t xml:space="preserve">vo:nd-4</t>
  </si>
  <si>
    <t xml:space="preserve">Ventilator › Learn › Needle thoracostomy: site, rib, depth › Too short</t>
  </si>
  <si>
    <t xml:space="preserve">nd-4</t>
  </si>
  <si>
    <t xml:space="preserve">Anteriorly the needle crosses the pectoral muscles. In a heavier patient a five-centimetre catheter ends in muscle. No air, no change — and the attempt looks done when it is not.</t>
  </si>
  <si>
    <t xml:space="preserve">vo:nd-5</t>
  </si>
  <si>
    <t xml:space="preserve">Ventilator › Learn › Needle thoracostomy: site, rib, depth › Lateral, long enough: decompression</t>
  </si>
  <si>
    <t xml:space="preserve">nd-5</t>
  </si>
  <si>
    <t xml:space="preserve">At the fourth or fifth space laterally, with a longer catheter, over the rib below and perpendicular to the skin: a rush of air as the pleura is crossed. Stop there, advance the catheter off the needle. Watch the peak pressure, the saturation and the blood pressure recover.</t>
  </si>
  <si>
    <t xml:space="preserve">vo:nd-6</t>
  </si>
  <si>
    <t xml:space="preserve">Ventilator › Learn › Needle thoracostomy: site, rib, depth › Too medial, too low</t>
  </si>
  <si>
    <t xml:space="preserve">nd-6</t>
  </si>
  <si>
    <t xml:space="preserve">Too close to the sternum and you meet the internal thoracic artery, then the heart. Too low and the diaphragm, liver or spleen are in the way. Landmarks matter more than speed.</t>
  </si>
  <si>
    <t xml:space="preserve">vo:nd-7</t>
  </si>
  <si>
    <t xml:space="preserve">Ventilator › Learn › Needle thoracostomy: site, rib, depth › A bridge, not a fix</t>
  </si>
  <si>
    <t xml:space="preserve">nd-7</t>
  </si>
  <si>
    <t xml:space="preserve">A needle is a bridge. Catheters kink and dislodge, and the tension can return. Reassess often, and follow with a finger thoracostomy or a chest drain.</t>
  </si>
  <si>
    <t xml:space="preserve">vo:pa-1</t>
  </si>
  <si>
    <t xml:space="preserve">Ventilator › Learn › The child’s airway: radius to the fourth power › Radius to the fourth power</t>
  </si>
  <si>
    <t xml:space="preserve">pa-1</t>
  </si>
  <si>
    <t xml:space="preserve">A child’s airway is not just a smaller copy of an adult’s. It is narrower and softer, and resistance to flow depends on the radius raised to the fourth power. Halve the radius, and the resistance rises sixteen times.</t>
  </si>
  <si>
    <t xml:space="preserve">vo:pa-2</t>
  </si>
  <si>
    <t xml:space="preserve">Ventilator › Learn › The child’s airway: radius to the fourth power › One millimetre of swelling</t>
  </si>
  <si>
    <t xml:space="preserve">pa-2</t>
  </si>
  <si>
    <t xml:space="preserve">Take one millimetre of swelling all the way round. In an adult airway of eight millimetres, the lumen falls to six, and resistance rises about three times. In an infant airway of four millimetres, it falls to two, and resistance rises sixteen times. The same swelling, a very different child.</t>
  </si>
  <si>
    <t xml:space="preserve">vo:pa-3</t>
  </si>
  <si>
    <t xml:space="preserve">Ventilator › Learn › The child’s airway: radius to the fourth power › Crying makes it worse</t>
  </si>
  <si>
    <t xml:space="preserve">pa-3</t>
  </si>
  <si>
    <t xml:space="preserve">When a frightened child cries and gasps, flow through the narrowed segment turns turbulent, and the pressure needed rises with the fifth power of the radius: thirty two times. Keeping the child calm, on a parent’s lap, is part of the treatment.</t>
  </si>
  <si>
    <t xml:space="preserve">vo:pa-4</t>
  </si>
  <si>
    <t xml:space="preserve">Ventilator › Learn › The child’s airway: radius to the fourth power › The narrowest ring</t>
  </si>
  <si>
    <t xml:space="preserve">pa-4</t>
  </si>
  <si>
    <t xml:space="preserve">Just below the vocal cords sits the cricoid, the only complete ring of cartilage in the airway. Swelling there, from infection or from a tube that is too big, has nowhere to go but inward.</t>
  </si>
  <si>
    <t xml:space="preserve">vo:pa-5</t>
  </si>
  <si>
    <t xml:space="preserve">Ventilator › Learn › The child’s airway: radius to the fourth power › The same law in the tube</t>
  </si>
  <si>
    <t xml:space="preserve">pa-5</t>
  </si>
  <si>
    <t xml:space="preserve">The same law applies to the endotracheal tube. These lungs are healthy and unchanged; only the tube is smaller, seven millimetres instead of eight. Watch the peak pressure: the gap between peak and plateau, the pressure spent on resistance, grows.</t>
  </si>
  <si>
    <t xml:space="preserve">vo:pa-6</t>
  </si>
  <si>
    <t xml:space="preserve">Ventilator › Learn › The child’s airway: radius to the fourth power › Six millimetres</t>
  </si>
  <si>
    <t xml:space="preserve">pa-6</t>
  </si>
  <si>
    <t xml:space="preserve">At six millimetres that resistive pressure has roughly tripled. A child’s tube may be three and a half millimetres, so a little secretion or a kink takes away a large share of its radius. That is why the tube is the first thing to check when a ventilated child deteriorates.</t>
  </si>
  <si>
    <t xml:space="preserve">vo:pa-7</t>
  </si>
  <si>
    <t xml:space="preserve">Ventilator › Learn › The child’s airway: radius to the fourth power › Back to eight</t>
  </si>
  <si>
    <t xml:space="preserve">pa-7</t>
  </si>
  <si>
    <t xml:space="preserve">Back to the eight millimetre tube, and the resistive gap closes. Check the tube, then the patient, then the machine.</t>
  </si>
  <si>
    <t xml:space="preserve">vo:ac-1</t>
  </si>
  <si>
    <t xml:space="preserve">Blood gas › Learn › Respiratory vs metabolic acidosis › Two buffers, two organs</t>
  </si>
  <si>
    <t xml:space="preserve">ac-1</t>
  </si>
  <si>
    <t xml:space="preserve">pH is set by the ratio of bicarbonate to carbon dioxide. The lungs control carbon dioxide within minutes; the kidneys control bicarbonate over days. Normal: pH seven point four, PaCO2 forty, bicarbonate twenty-four.</t>
  </si>
  <si>
    <t xml:space="preserve">vo:ac-2</t>
  </si>
  <si>
    <t xml:space="preserve">Blood gas › Learn › Respiratory vs metabolic acidosis › Acute respiratory acidosis</t>
  </si>
  <si>
    <t xml:space="preserve">ac-2</t>
  </si>
  <si>
    <t xml:space="preserve">An opioid overdose. Breathing slows, carbon dioxide accumulates, and the pH falls. Bicarbonate barely moves — about one for every ten of CO2 — because the kidneys have not had time. Watch the end-tidal CO2 and the respiratory rate: the cause is on the monitor.</t>
  </si>
  <si>
    <t xml:space="preserve">vo:ac-3</t>
  </si>
  <si>
    <t xml:space="preserve">Blood gas › Learn › Respiratory vs metabolic acidosis › Chronic: the kidneys catch up</t>
  </si>
  <si>
    <t xml:space="preserve">ac-3</t>
  </si>
  <si>
    <t xml:space="preserve">Leave the same hypoventilation for three days. The kidneys retain bicarbonate — about four for every ten of CO2 — and the pH climbs back toward normal while the CO2 stays high. That is renal compensation, and it takes days.</t>
  </si>
  <si>
    <t xml:space="preserve">vo:ac-4</t>
  </si>
  <si>
    <t xml:space="preserve">Blood gas › Learn › Respiratory vs metabolic acidosis › Metabolic acidosis</t>
  </si>
  <si>
    <t xml:space="preserve">ac-4</t>
  </si>
  <si>
    <t xml:space="preserve">Now a metabolic acidosis: twelve millimoles of acid added, bicarbonate used up to buffer it. Within minutes the lungs respond — deeper, faster breathing lowers the CO2. Expected PaCO2 is one and a half times the bicarbonate plus eight, give or take two.</t>
  </si>
  <si>
    <t xml:space="preserve">vo:ac-5</t>
  </si>
  <si>
    <t xml:space="preserve">Blood gas › Learn › Respiratory vs metabolic acidosis › When the lungs cannot compensate</t>
  </si>
  <si>
    <t xml:space="preserve">ac-5</t>
  </si>
  <si>
    <t xml:space="preserve">Put the same patient on a ventilator set to a normal minute ventilation. The compensation is taken away: CO2 rises back toward forty and the pH drops sharply. A metabolic acidosis on the ventilator needs a higher minute ventilation, not a normal one.</t>
  </si>
  <si>
    <t xml:space="preserve">vo:ac-6</t>
  </si>
  <si>
    <t xml:space="preserve">Blood gas › Learn › Respiratory vs metabolic acidosis › Reading the pattern</t>
  </si>
  <si>
    <t xml:space="preserve">ac-6</t>
  </si>
  <si>
    <t xml:space="preserve">First the pH: acid or alkaline. Then which value explains it: a high CO2 is respiratory, a low bicarbonate is metabolic. Then check the other value: is the compensation what you expect? If not, there is a second process.</t>
  </si>
  <si>
    <t xml:space="preserve">vo:dka-1</t>
  </si>
  <si>
    <t xml:space="preserve">Blood gas › Learn › DKA: acid, water and potassium › No insulin</t>
  </si>
  <si>
    <t xml:space="preserve">dka-1</t>
  </si>
  <si>
    <t xml:space="preserve">Without insulin, cells cannot take up glucose, so the liver makes more and fat is broken down. Fatty acids are turned into ketoacids. Glucose is over five hundred; the patient is vomiting and breathing deeply.</t>
  </si>
  <si>
    <t xml:space="preserve">vo:dka-2</t>
  </si>
  <si>
    <t xml:space="preserve">Blood gas › Learn › DKA: acid, water and potassium › An anion-gap acidosis</t>
  </si>
  <si>
    <t xml:space="preserve">dka-2</t>
  </si>
  <si>
    <t xml:space="preserve">Ketoacids use up bicarbonate. The unmeasured ketone anions widen the anion gap. The lungs compensate with Kussmaul breathing, driving the CO2 down.</t>
  </si>
  <si>
    <t xml:space="preserve">vo:dka-3</t>
  </si>
  <si>
    <t xml:space="preserve">Blood gas › Learn › DKA: acid, water and potassium › Osmotic diuresis</t>
  </si>
  <si>
    <t xml:space="preserve">dka-3</t>
  </si>
  <si>
    <t xml:space="preserve">Glucose spills into the urine and drags water and sodium with it. By the time the patient arrives, several litres have been lost, and the kidneys are underperfused.</t>
  </si>
  <si>
    <t xml:space="preserve">vo:dka-4</t>
  </si>
  <si>
    <t xml:space="preserve">Blood gas › Learn › DKA: acid, water and potassium › Potassium: high in the blood, low in the body</t>
  </si>
  <si>
    <t xml:space="preserve">dka-4</t>
  </si>
  <si>
    <t xml:space="preserve">Plasma potassium is high, because acidosis and the lack of insulin push potassium out of cells. But the diuresis has been washing it out for days: total-body potassium is low. Insulin will reveal the deficit.</t>
  </si>
  <si>
    <t xml:space="preserve">vo:dka-5</t>
  </si>
  <si>
    <t xml:space="preserve">Blood gas › Learn › DKA: acid, water and potassium › Fluids first</t>
  </si>
  <si>
    <t xml:space="preserve">dka-5</t>
  </si>
  <si>
    <t xml:space="preserve">The first treatment is fluid. Volume restores perfusion and lets the kidneys clear glucose and ketones.</t>
  </si>
  <si>
    <t xml:space="preserve">vo:dka-6</t>
  </si>
  <si>
    <t xml:space="preserve">Blood gas › Learn › DKA: acid, water and potassium › Insulin — and watch the potassium</t>
  </si>
  <si>
    <t xml:space="preserve">dka-6</t>
  </si>
  <si>
    <t xml:space="preserve">Insulin stops ketone production and moves potassium back into the cells. Glucose and the anion gap fall — and so does potassium, often below normal. Check it before insulin, and replace it: if potassium is low, give potassium first.</t>
  </si>
  <si>
    <t xml:space="preserve">vo:dka-7</t>
  </si>
  <si>
    <t xml:space="preserve">Blood gas › Learn › DKA: acid, water and potassium › Close the gap</t>
  </si>
  <si>
    <t xml:space="preserve">dka-7</t>
  </si>
  <si>
    <t xml:space="preserve">Keep the insulin infusion running until the anion gap closes, adding dextrose as glucose falls. The glucose normalises long before the acidosis does.</t>
  </si>
  <si>
    <t xml:space="preserve">vo:og-1</t>
  </si>
  <si>
    <t xml:space="preserve">Blood gas › Learn › Pregnancy: the normal blood gas that isn’t › The reference</t>
  </si>
  <si>
    <t xml:space="preserve">og-1</t>
  </si>
  <si>
    <t xml:space="preserve">First, a non-pregnant adult breathing room air: a pH of seven point four, a carbon dioxide of forty, a bicarbonate of about twenty four.</t>
  </si>
  <si>
    <t xml:space="preserve">vo:og-2</t>
  </si>
  <si>
    <t xml:space="preserve">Blood gas › Learn › Pregnancy: the normal blood gas that isn’t › Normal at term</t>
  </si>
  <si>
    <t xml:space="preserve">og-2</t>
  </si>
  <si>
    <t xml:space="preserve">Now a healthy woman at thirty eight weeks. Progesterone makes the respiratory centre more sensitive, so she breathes more: carbon dioxide about thirty. Over weeks her kidneys excrete bicarbonate, down to about twenty, and the pH sits just above normal. For her, this is normal.</t>
  </si>
  <si>
    <t xml:space="preserve">vo:og-3</t>
  </si>
  <si>
    <t xml:space="preserve">Blood gas › Learn › Pregnancy: the normal blood gas that isn’t › Why it helps the baby</t>
  </si>
  <si>
    <t xml:space="preserve">og-3</t>
  </si>
  <si>
    <t xml:space="preserve">The low maternal carbon dioxide widens the gradient across the placenta, so the fetus can offload its own. Her oxygen is normal or a little high, because less carbon dioxide in the alveoli leaves room for more oxygen.</t>
  </si>
  <si>
    <t xml:space="preserve">vo:og-4</t>
  </si>
  <si>
    <t xml:space="preserve">Blood gas › Learn › Pregnancy: the normal blood gas that isn’t › Thinner blood</t>
  </si>
  <si>
    <t xml:space="preserve">og-4</t>
  </si>
  <si>
    <t xml:space="preserve">Plasma volume rises by nearly half and red cell mass by about a quarter, so haemoglobin falls to around eleven. Oxygen content is lower, and a higher cardiac output makes up the difference.</t>
  </si>
  <si>
    <t xml:space="preserve">vo:og-5</t>
  </si>
  <si>
    <t xml:space="preserve">Blood gas › Learn › Pregnancy: the normal blood gas that isn’t › The trap: a normal carbon dioxide</t>
  </si>
  <si>
    <t xml:space="preserve">og-5</t>
  </si>
  <si>
    <t xml:space="preserve">Now a pregnant woman with severe asthma. Her carbon dioxide reads in the forties, which looks normal, but her own normal is thirty. She is retaining carbon dioxide, and with little bicarbonate to buffer it, her pH has already fallen to about seven point three. She is tiring.</t>
  </si>
  <si>
    <t xml:space="preserve">vo:og-6</t>
  </si>
  <si>
    <t xml:space="preserve">Blood gas › Learn › Pregnancy: the normal blood gas that isn’t › Act early</t>
  </si>
  <si>
    <t xml:space="preserve">og-6</t>
  </si>
  <si>
    <t xml:space="preserve">Treat her as severe: bronchodilators, steroids and magnesium, senior help early, and keep her saturation at ninety five percent or more, because the baby’s oxygen depends on hers. As the airways open, her carbon dioxide falls back toward her own normal.</t>
  </si>
  <si>
    <t xml:space="preserve">vo:ap-1</t>
  </si>
  <si>
    <t xml:space="preserve">Blood gas › Learn › Apnoea: how long the oxygen lasts — child, newborn, pregnancy › The oxygen already on board</t>
  </si>
  <si>
    <t xml:space="preserve">ap-1</t>
  </si>
  <si>
    <t xml:space="preserve">When breathing stops, the body lives on the oxygen it already holds: a little in the blood, and the gas left in the lungs at the end of a breath, the functional residual capacity. Breathing room air, a healthy adult falls below ninety percent in about a minute.</t>
  </si>
  <si>
    <t xml:space="preserve">vo:ap-2</t>
  </si>
  <si>
    <t xml:space="preserve">Blood gas › Learn › Apnoea: how long the oxygen lasts — child, newborn, pregnancy › Pre-oxygenation fills the tank</t>
  </si>
  <si>
    <t xml:space="preserve">ap-2</t>
  </si>
  <si>
    <t xml:space="preserve">Breathing pure oxygen through a tight seal for three minutes washes the nitrogen out of that lung volume and replaces it with oxygen. Now the same adult stays above ninety percent for about eight minutes. Nothing else we do buys as much time.</t>
  </si>
  <si>
    <t xml:space="preserve">vo:ap-3</t>
  </si>
  <si>
    <t xml:space="preserve">Blood gas › Learn › Apnoea: how long the oxygen lasts — child, newborn, pregnancy › The cliff</t>
  </si>
  <si>
    <t xml:space="preserve">ap-3</t>
  </si>
  <si>
    <t xml:space="preserve">Look at the shape. The saturation hardly moves while the lung store drains, because the top of the dissociation curve is flat. Once alveolar oxygen falls to about sixty, the curve turns steep and the saturation falls off a cliff. Stop and re-oxygenate before the edge, not after it.</t>
  </si>
  <si>
    <t xml:space="preserve">vo:ap-4</t>
  </si>
  <si>
    <t xml:space="preserve">Blood gas › Learn › Apnoea: how long the oxygen lasts — child, newborn, pregnancy › Pregnancy</t>
  </si>
  <si>
    <t xml:space="preserve">ap-4</t>
  </si>
  <si>
    <t xml:space="preserve">At term the uterus pushes the diaphragm up, so the functional residual capacity is about a fifth smaller, while mother, placenta and baby consume more oxygen. The tank is smaller and drains faster: about five minutes instead of eight, and the baby shares the deficit.</t>
  </si>
  <si>
    <t xml:space="preserve">vo:ap-5</t>
  </si>
  <si>
    <t xml:space="preserve">Blood gas › Learn › Apnoea: how long the oxygen lasts — child, newborn, pregnancy › Obesity</t>
  </si>
  <si>
    <t xml:space="preserve">ap-5</t>
  </si>
  <si>
    <t xml:space="preserve">Lying flat, the weight of the abdomen and chest wall squeezes the lungs, and more tissue uses more oxygen. Even well pre-oxygenated, this patient may have under four minutes.</t>
  </si>
  <si>
    <t xml:space="preserve">vo:ap-6</t>
  </si>
  <si>
    <t xml:space="preserve">Blood gas › Learn › Apnoea: how long the oxygen lasts — child, newborn, pregnancy › The child</t>
  </si>
  <si>
    <t xml:space="preserve">ap-6</t>
  </si>
  <si>
    <t xml:space="preserve">A four year old uses nearly twice as much oxygen per kilo as an adult, from a smaller lung volume per kilo. Pre-oxygenated, the saturation holds for about three minutes. On room air, it is seconds.</t>
  </si>
  <si>
    <t xml:space="preserve">vo:ap-7</t>
  </si>
  <si>
    <t xml:space="preserve">Blood gas › Learn › Apnoea: how long the oxygen lasts — child, newborn, pregnancy › Infant and newborn</t>
  </si>
  <si>
    <t xml:space="preserve">ap-7</t>
  </si>
  <si>
    <t xml:space="preserve">Infants are faster still. Their soft chest wall lets the lung volume collapse once they are asleep or paralysed, and their oxygen use per kilo is the highest of any age. Under two minutes is typical. Fetal haemoglobin holds oxygen tightly, which helps the newborn a little, but the reserve is tiny.</t>
  </si>
  <si>
    <t xml:space="preserve">vo:ap-8</t>
  </si>
  <si>
    <t xml:space="preserve">Blood gas › Learn › Apnoea: how long the oxygen lasts — child, newborn, pregnancy › Buying time</t>
  </si>
  <si>
    <t xml:space="preserve">ap-8</t>
  </si>
  <si>
    <t xml:space="preserve">What buys time: a good seal and full pre-oxygenation, head-up positioning in obesity and pregnancy, oxygen flowing through the nose during the attempt, and a plan agreed beforehand: the time or saturation at which you stop, and ventilate.</t>
  </si>
  <si>
    <t xml:space="preserve">vo:hks-1</t>
  </si>
  <si>
    <t xml:space="preserve">Labs › Learn › Hyperkalaemia: the membrane, the ECG, the rescue › A membrane held at −85 mV</t>
  </si>
  <si>
    <t xml:space="preserve">hks-1</t>
  </si>
  <si>
    <t xml:space="preserve">Heart muscle cells hold about one hundred and forty millimoles of potassium inside, against about four outside. That gradient, leaking out through potassium channels, holds the resting membrane near minus eighty-five millivolts.</t>
  </si>
  <si>
    <t xml:space="preserve">vo:hks-2</t>
  </si>
  <si>
    <t xml:space="preserve">Labs › Learn › Hyperkalaemia: the membrane, the ECG, the rescue › The pump keeps the gradient</t>
  </si>
  <si>
    <t xml:space="preserve">hks-2</t>
  </si>
  <si>
    <t xml:space="preserve">The sodium potassium pump spends ATP to carry two potassium ions in for every three sodium ions out. Keep an eye on it; it becomes a treatment later.</t>
  </si>
  <si>
    <t xml:space="preserve">vo:hks-3</t>
  </si>
  <si>
    <t xml:space="preserve">Labs › Learn › Hyperkalaemia: the membrane, the ECG, the rescue › The kidneys fail and potassium climbs</t>
  </si>
  <si>
    <t xml:space="preserve">hks-3</t>
  </si>
  <si>
    <t xml:space="preserve">With the kidneys failing, plasma potassium rises. The outward leak weakens, the resting potential creeps toward threshold, and the ECG changes in order: tall peaked T waves, then a longer PR and flattened P waves, then a widening QRS.</t>
  </si>
  <si>
    <t xml:space="preserve">vo:hks-4</t>
  </si>
  <si>
    <t xml:space="preserve">Labs › Learn › Hyperkalaemia: the membrane, the ECG, the rescue › A sine wave is a pre-arrest rhythm</t>
  </si>
  <si>
    <t xml:space="preserve">hks-4</t>
  </si>
  <si>
    <t xml:space="preserve">Above about nine, the widened QRS runs into the T wave. This sine-wave pattern comes just before ventricular fibrillation or asystole.</t>
  </si>
  <si>
    <t xml:space="preserve">vo:hks-5</t>
  </si>
  <si>
    <t xml:space="preserve">Labs › Learn › Hyperkalaemia: the membrane, the ECG, the rescue › Stabilise: calcium</t>
  </si>
  <si>
    <t xml:space="preserve">hks-5</t>
  </si>
  <si>
    <t xml:space="preserve">Calcium goes in first. Potassium stays exactly where it was. Calcium raises the threshold potential, re-opening the gap between rest and threshold, and the QRS narrows within minutes. It buys roughly thirty to sixty minutes.</t>
  </si>
  <si>
    <t xml:space="preserve">vo:hks-6</t>
  </si>
  <si>
    <t xml:space="preserve">Labs › Learn › Hyperkalaemia: the membrane, the ECG, the rescue › Shift: insulin and dextrose</t>
  </si>
  <si>
    <t xml:space="preserve">hks-6</t>
  </si>
  <si>
    <t xml:space="preserve">Insulin with dextrose drives the sodium potassium pump harder, moving potassium back into cells. Plasma potassium falls by about one. Nebulised salbutamol works the same way. None of it has left the body.</t>
  </si>
  <si>
    <t xml:space="preserve">vo:hks-7</t>
  </si>
  <si>
    <t xml:space="preserve">Labs › Learn › Hyperkalaemia: the membrane, the ECG, the rescue › The rebound</t>
  </si>
  <si>
    <t xml:space="preserve">hks-7</t>
  </si>
  <si>
    <t xml:space="preserve">Hours later the insulin has worn off and potassium leaks back out of the cells. Shifting is temporary.</t>
  </si>
  <si>
    <t xml:space="preserve">vo:hks-8</t>
  </si>
  <si>
    <t xml:space="preserve">Labs › Learn › Hyperkalaemia: the membrane, the ECG, the rescue › Remove: dialysis</t>
  </si>
  <si>
    <t xml:space="preserve">hks-8</t>
  </si>
  <si>
    <t xml:space="preserve">Removal is the cure: dialysis, gut binders, or diuretics if the kidneys still work. Stabilise, shift, remove. Then repeat the ECG and the potassium.</t>
  </si>
  <si>
    <t xml:space="preserve">vo:co-1</t>
  </si>
  <si>
    <t xml:space="preserve">Labs › Learn › Reversing anticoagulation: warfarin, heparin and clots that dissolve › Normal clotting</t>
  </si>
  <si>
    <t xml:space="preserve">co-1</t>
  </si>
  <si>
    <t xml:space="preserve">When a vessel tears, platelets plug the hole, and clotting factors made by the liver generate thrombin, which weaves fibrinogen into a fibrin mesh. The trace shows a clot forming on time and staying firm.</t>
  </si>
  <si>
    <t xml:space="preserve">vo:co-2</t>
  </si>
  <si>
    <t xml:space="preserve">Labs › Learn › Reversing anticoagulation: warfarin, heparin and clots that dissolve › Warfarin, INR over six</t>
  </si>
  <si>
    <t xml:space="preserve">co-2</t>
  </si>
  <si>
    <t xml:space="preserve">Warfarin blocks the recycling of vitamin K, so the liver makes clotting factors that cannot work. Here only about seven percent of factors two, seven, nine and ten are active. The INR is over six, the clot forms late and weak, and this patient is bleeding.</t>
  </si>
  <si>
    <t xml:space="preserve">vo:co-3</t>
  </si>
  <si>
    <t xml:space="preserve">Labs › Learn › Reversing anticoagulation: warfarin, heparin and clots that dissolve › Prothrombin complex concentrate</t>
  </si>
  <si>
    <t xml:space="preserve">co-3</t>
  </si>
  <si>
    <t xml:space="preserve">Prothrombin complex concentrate replaces those four factors directly. Thirty minutes later the INR is close to normal and the clot forms on time.</t>
  </si>
  <si>
    <t xml:space="preserve">vo:co-4</t>
  </si>
  <si>
    <t xml:space="preserve">Labs › Learn › Reversing anticoagulation: warfarin, heparin and clots that dissolve › A day later, without vitamin K</t>
  </si>
  <si>
    <t xml:space="preserve">co-4</t>
  </si>
  <si>
    <t xml:space="preserve">But factor seven lasts only about six hours. Without vitamin K the liver still cannot make working factors, and a day later the INR has climbed back toward three.</t>
  </si>
  <si>
    <t xml:space="preserve">vo:co-5</t>
  </si>
  <si>
    <t xml:space="preserve">Labs › Learn › Reversing anticoagulation: warfarin, heparin and clots that dissolve › With vitamin K</t>
  </si>
  <si>
    <t xml:space="preserve">co-5</t>
  </si>
  <si>
    <t xml:space="preserve">Give intravenous vitamin K with the concentrate, and the liver takes over as the concentrate is used up. A day later the INR is still normal.</t>
  </si>
  <si>
    <t xml:space="preserve">vo:co-6</t>
  </si>
  <si>
    <t xml:space="preserve">Labs › Learn › Reversing anticoagulation: warfarin, heparin and clots that dissolve › Heparin</t>
  </si>
  <si>
    <t xml:space="preserve">co-6</t>
  </si>
  <si>
    <t xml:space="preserve">Heparin works differently. It supercharges antithrombin, which switches off thrombin and factor ten A. The INR hardly moves, but the aPTT is several times normal.</t>
  </si>
  <si>
    <t xml:space="preserve">vo:co-7</t>
  </si>
  <si>
    <t xml:space="preserve">Labs › Learn › Reversing anticoagulation: warfarin, heparin and clots that dissolve › Protamine</t>
  </si>
  <si>
    <t xml:space="preserve">co-7</t>
  </si>
  <si>
    <t xml:space="preserve">Protamine is strongly positive and binds the negative heparin chains. Within minutes the aPTT is back to normal. If an infusion were still running it would climb again, so stop the heparin first.</t>
  </si>
  <si>
    <t xml:space="preserve">vo:co-8</t>
  </si>
  <si>
    <t xml:space="preserve">Labs › Learn › Reversing anticoagulation: warfarin, heparin and clots that dissolve › When clots dissolve</t>
  </si>
  <si>
    <t xml:space="preserve">co-8</t>
  </si>
  <si>
    <t xml:space="preserve">Major trauma can switch on fibrinolysis: clots break down almost as fast as they form, and fibrinogen is consumed. The trace rises, then melts away, and fibrinogen falls toward one hundred.</t>
  </si>
  <si>
    <t xml:space="preserve">vo:co-9</t>
  </si>
  <si>
    <t xml:space="preserve">Labs › Learn › Reversing anticoagulation: warfarin, heparin and clots that dissolve › Tranexamic acid, then fibrinogen</t>
  </si>
  <si>
    <t xml:space="preserve">co-9</t>
  </si>
  <si>
    <t xml:space="preserve">Tranexamic acid stops plasminogen binding to fibrin, so clots hold; it works best within three hours of injury. Replacing fibrinogen, with cryoprecipitate or concentrate, restores the strength of the clot.</t>
  </si>
  <si>
    <t xml:space="preserve">vo:sh-0</t>
  </si>
  <si>
    <t xml:space="preserve">Lines › Learn › Shock states at the bedside › Four ways to fail</t>
  </si>
  <si>
    <t xml:space="preserve">sh-0</t>
  </si>
  <si>
    <t xml:space="preserve">Blood pressure is flow times resistance: mean arterial pressure is cardiac output times systemic vascular resistance, plus the venous pressure. Shock is inadequate tissue perfusion, and every type breaks a different part of that equation. This is a normal patient for comparison.</t>
  </si>
  <si>
    <t xml:space="preserve">vo:sh-1</t>
  </si>
  <si>
    <t xml:space="preserve">Lines › Learn › Shock states at the bedside › Distributive: the resistance falls</t>
  </si>
  <si>
    <t xml:space="preserve">sh-1</t>
  </si>
  <si>
    <t xml:space="preserve">Septic shock. Inflammatory mediators relax the arterioles, so resistance collapses. The heart speeds up and output is normal or high. On the arterial line the diastolic pressure is low, the pulse pressure is wide for the mean pressure, and the dicrotic notch sits low on the downstroke.</t>
  </si>
  <si>
    <t xml:space="preserve">vo:sh-2</t>
  </si>
  <si>
    <t xml:space="preserve">Lines › Learn › Shock states at the bedside › Norepinephrine restores tone</t>
  </si>
  <si>
    <t xml:space="preserve">sh-2</t>
  </si>
  <si>
    <t xml:space="preserve">After fluid, norepinephrine constricts the arterioles through alpha-1 receptors. Resistance rises, the diastolic pressure and mean pressure come up, and the heart rate barely changes. The target is a mean pressure of about sixty-five.</t>
  </si>
  <si>
    <t xml:space="preserve">vo:sh-3</t>
  </si>
  <si>
    <t xml:space="preserve">Lines › Learn › Shock states at the bedside › Cardiogenic: the pump fails</t>
  </si>
  <si>
    <t xml:space="preserve">sh-3</t>
  </si>
  <si>
    <t xml:space="preserve">Cardiogenic shock. A failing left ventricle ejects a small stroke volume, so the pulse pressure is narrow. Blood backs up: filling pressures and the CVP are high. Resistance rises as the body tries to hold the pressure, which makes the weak heart work harder.</t>
  </si>
  <si>
    <t xml:space="preserve">vo:sh-4</t>
  </si>
  <si>
    <t xml:space="preserve">Lines › Learn › Shock states at the bedside › Dobutamine: squeeze harder</t>
  </si>
  <si>
    <t xml:space="preserve">sh-4</t>
  </si>
  <si>
    <t xml:space="preserve">Dobutamine stimulates beta-1 receptors on the myocardium. Contractility and stroke volume rise and resistance falls a little, so cardiac output climbs. Pressure may not rise much; a vasopressor is often needed alongside. Fluids would only raise the CVP further.</t>
  </si>
  <si>
    <t xml:space="preserve">vo:sh-5</t>
  </si>
  <si>
    <t xml:space="preserve">Lines › Learn › Shock states at the bedside › Obstructive: tamponade</t>
  </si>
  <si>
    <t xml:space="preserve">sh-5</t>
  </si>
  <si>
    <t xml:space="preserve">Cardiac tamponade. Fluid in the pericardium squeezes the heart from outside, so the chambers cannot fill. The CVP is high, the pressures in all four chambers move toward the same value, and the stroke volume is small. The heart is fast, the pulse pressure narrow.</t>
  </si>
  <si>
    <t xml:space="preserve">vo:sh-6</t>
  </si>
  <si>
    <t xml:space="preserve">Lines › Learn › Shock states at the bedside › Pulsus paradoxus</t>
  </si>
  <si>
    <t xml:space="preserve">sh-6</t>
  </si>
  <si>
    <t xml:space="preserve">Watch the arterial trace with breathing. On inspiration the right heart fills, the septum bulges left, and the left ventricle fills even less: systolic pressure drops more than ten millimetres of mercury. That exaggerated fall is pulsus paradoxus.</t>
  </si>
  <si>
    <t xml:space="preserve">vo:sh-7</t>
  </si>
  <si>
    <t xml:space="preserve">Lines › Learn › Shock states at the bedside › Pericardiocentesis</t>
  </si>
  <si>
    <t xml:space="preserve">sh-7</t>
  </si>
  <si>
    <t xml:space="preserve">Draining even a small volume of pericardial fluid releases the heart. Filling recovers, the CVP falls, stroke volume and cardiac output return, and the paradox disappears.</t>
  </si>
  <si>
    <t xml:space="preserve">vo:sh-8</t>
  </si>
  <si>
    <t xml:space="preserve">Lines › Learn › Shock states at the bedside › Hypovolaemic: the tank is empty</t>
  </si>
  <si>
    <t xml:space="preserve">sh-8</t>
  </si>
  <si>
    <t xml:space="preserve">Haemorrhagic shock. With too little blood, venous return and preload fall: the CVP is low, the stroke volume small and the pulse pressure narrow. Resistance and heart rate rise to compensate. On the ventilator, each breath squeezes the small preload further, so the pulse pressure varies widely with breathing — a high pulse pressure variation.</t>
  </si>
  <si>
    <t xml:space="preserve">vo:sh-9</t>
  </si>
  <si>
    <t xml:space="preserve">Lines › Learn › Shock states at the bedside › Volume, then blood</t>
  </si>
  <si>
    <t xml:space="preserve">sh-9</t>
  </si>
  <si>
    <t xml:space="preserve">Give volume, and in haemorrhage give blood: it restores preload and oxygen-carrying capacity together. Stroke volume rises, the pulse pressure widens, the variation with breathing shrinks and the heart slows. Stopping the bleeding is the definitive treatment.</t>
  </si>
  <si>
    <t xml:space="preserve">vo:sh-10</t>
  </si>
  <si>
    <t xml:space="preserve">Lines › Learn › Shock states at the bedside › Read the pattern</t>
  </si>
  <si>
    <t xml:space="preserve">sh-10</t>
  </si>
  <si>
    <t xml:space="preserve">Low resistance with high output: distributive. Low output with high filling pressures: cardiogenic. High filling pressures with a heart that cannot fill: obstructive. Low output with low filling pressures: hypovolaemic. The monitor tells you which lever to pull.</t>
  </si>
  <si>
    <t xml:space="preserve">vo:do-1</t>
  </si>
  <si>
    <t xml:space="preserve">Lines › Learn › Oxygen delivery: DO₂ = CO × CaO₂ › The equation</t>
  </si>
  <si>
    <t xml:space="preserve">do-1</t>
  </si>
  <si>
    <t xml:space="preserve">Oxygen content is mostly haemoglobin carrying oxygen: one point three four times haemoglobin times saturation, plus a tiny dissolved amount. Delivery is content times cardiac output. Normally about a thousand millilitres a minute is delivered and a quarter is used, so venous blood returns about seventy-five percent saturated.</t>
  </si>
  <si>
    <t xml:space="preserve">vo:do-2</t>
  </si>
  <si>
    <t xml:space="preserve">Lines › Learn › Oxygen delivery: DO₂ = CO × CaO₂ › Anaemia halves the content</t>
  </si>
  <si>
    <t xml:space="preserve">do-2</t>
  </si>
  <si>
    <t xml:space="preserve">Halve the haemoglobin. The saturation is unchanged — the pulse oximeter looks perfect — but the oxygen content has halved. A healthy heart raises its output and thinner blood lowers the resistance, which recovers part of the delivery. The oximeter measures the percentage of haemoglobin that is full, not how much haemoglobin there is.</t>
  </si>
  <si>
    <t xml:space="preserve">vo:do-3</t>
  </si>
  <si>
    <t xml:space="preserve">Lines › Learn › Oxygen delivery: DO₂ = CO × CaO₂ › A failing heart cannot compensate</t>
  </si>
  <si>
    <t xml:space="preserve">do-3</t>
  </si>
  <si>
    <t xml:space="preserve">Give the same anaemia to a patient whose heart cannot raise its output. Now delivery falls far below what the tissues need: venous saturation drops and lactate starts to climb.</t>
  </si>
  <si>
    <t xml:space="preserve">vo:do-4</t>
  </si>
  <si>
    <t xml:space="preserve">Lines › Learn › Oxygen delivery: DO₂ = CO × CaO₂ › Hypoxaemia lowers saturation</t>
  </si>
  <si>
    <t xml:space="preserve">do-4</t>
  </si>
  <si>
    <t xml:space="preserve">Now keep the haemoglobin normal but add shunt in the lungs. The saturation falls, and content falls with it — but less than you might expect, because of the shape of the dissociation curve.</t>
  </si>
  <si>
    <t xml:space="preserve">vo:do-5</t>
  </si>
  <si>
    <t xml:space="preserve">Lines › Learn › Oxygen delivery: DO₂ = CO × CaO₂ › Low output: cardiogenic shock</t>
  </si>
  <si>
    <t xml:space="preserve">do-5</t>
  </si>
  <si>
    <t xml:space="preserve">With normal blood but a failing pump, delivery falls in proportion to the output. The tissues extract more, venous saturation falls, and lactate rises as cells switch to anaerobic metabolism.</t>
  </si>
  <si>
    <t xml:space="preserve">vo:do-6</t>
  </si>
  <si>
    <t xml:space="preserve">Lines › Learn › Oxygen delivery: DO₂ = CO × CaO₂ › High delivery, still lactic: sepsis</t>
  </si>
  <si>
    <t xml:space="preserve">do-6</t>
  </si>
  <si>
    <t xml:space="preserve">Septic shock can have a high cardiac output and high delivery, yet lactate is raised: blood is poorly distributed through the microcirculation, and the cells themselves use oxygen badly. A normal or high venous saturation does not rule out tissue hypoxia.</t>
  </si>
  <si>
    <t xml:space="preserve">vo:ht-1</t>
  </si>
  <si>
    <t xml:space="preserve">Lines › Learn › Haemorrhagic shock and transfusion › Before</t>
  </si>
  <si>
    <t xml:space="preserve">ht-1</t>
  </si>
  <si>
    <t xml:space="preserve">A healthy adult. Note the haemoglobin, the pressures, and the oxygen delivery.</t>
  </si>
  <si>
    <t xml:space="preserve">vo:ht-2</t>
  </si>
  <si>
    <t xml:space="preserve">Lines › Learn › Haemorrhagic shock and transfusion › Early: the haemoglobin lies</t>
  </si>
  <si>
    <t xml:space="preserve">ht-2</t>
  </si>
  <si>
    <t xml:space="preserve">Rapid bleeding. What is lost is whole blood, so the haemoglobin concentration is almost unchanged at first. The problem is volume: low preload, low CVP, small stroke volume, narrow pulse pressure, a fast heart and falling delivery.</t>
  </si>
  <si>
    <t xml:space="preserve">vo:ht-3</t>
  </si>
  <si>
    <t xml:space="preserve">Lines › Learn › Haemorrhagic shock and transfusion › Crystalloid dilutes</t>
  </si>
  <si>
    <t xml:space="preserve">ht-3</t>
  </si>
  <si>
    <t xml:space="preserve">Two litres of crystalloid restore some volume and pressure, but now the haemoglobin falls: the remaining red cells are diluted. Delivery improves less than the blood pressure suggests, and much of the crystalloid leaves the circulation within an hour.</t>
  </si>
  <si>
    <t xml:space="preserve">vo:ht-4</t>
  </si>
  <si>
    <t xml:space="preserve">Lines › Learn › Haemorrhagic shock and transfusion › Give blood</t>
  </si>
  <si>
    <t xml:space="preserve">ht-4</t>
  </si>
  <si>
    <t xml:space="preserve">Packed red cells restore volume and oxygen-carrying capacity together. Stroke volume and pulse pressure rise, the heart slows, the haemoglobin climbs and delivery improves. In major haemorrhage, give plasma and platelets with the red cells, and calcium.</t>
  </si>
  <si>
    <t xml:space="preserve">vo:ht-5</t>
  </si>
  <si>
    <t xml:space="preserve">Lines › Learn › Haemorrhagic shock and transfusion › Watch for a reaction</t>
  </si>
  <si>
    <t xml:space="preserve">ht-5</t>
  </si>
  <si>
    <t xml:space="preserve">During every unit, watch the patient. Fever, rigors, a sudden fall in pressure, wheeze, urticaria, back pain or dark urine suggest a reaction. Stop the transfusion, keep the line open with saline, check the patient and the product, and follow your transfusion protocol.</t>
  </si>
  <si>
    <t xml:space="preserve">vo:ht-6</t>
  </si>
  <si>
    <t xml:space="preserve">Lines › Learn › Haemorrhagic shock and transfusion › Stop the bleeding</t>
  </si>
  <si>
    <t xml:space="preserve">ht-6</t>
  </si>
  <si>
    <t xml:space="preserve">Transfusion buys time. Definitive treatment is control of the bleeding: pressure, tourniquet, surgery or interventional radiology.</t>
  </si>
  <si>
    <t xml:space="preserve">vo:iabp-1</t>
  </si>
  <si>
    <t xml:space="preserve">Lines › Learn › Intra-aortic balloon pump timing › Why a balloon</t>
  </si>
  <si>
    <t xml:space="preserve">iabp-1</t>
  </si>
  <si>
    <t xml:space="preserve">A failing left ventricle, low cardiac output. A balloon in the descending aorta inflates in diastole and deflates just before systole: it pushes blood back toward the coronaries while the heart relaxes, and leaves an emptier aorta for the next beat to eject into.</t>
  </si>
  <si>
    <t xml:space="preserve">vo:iabp-2</t>
  </si>
  <si>
    <t xml:space="preserve">Lines › Learn › Intra-aortic balloon pump timing › Reading 1:2</t>
  </si>
  <si>
    <t xml:space="preserve">iabp-2</t>
  </si>
  <si>
    <t xml:space="preserve">At one-to-two every other beat is assisted, so the trace compares itself. Find the unassisted systole, the dicrotic notch, then the diastolic augmentation — ideally as high as systole or higher.</t>
  </si>
  <si>
    <t xml:space="preserve">vo:iabp-3</t>
  </si>
  <si>
    <t xml:space="preserve">Lines › Learn › Intra-aortic balloon pump timing › Two end-diastolic pressures</t>
  </si>
  <si>
    <t xml:space="preserve">iabp-3</t>
  </si>
  <si>
    <t xml:space="preserve">Deflation drops the pressure just before the next beat: the balloon-assisted end-diastolic pressure should be lower than the patient’s own, and the assisted systole lower than the unassisted one. That is the afterload reduction.</t>
  </si>
  <si>
    <t xml:space="preserve">vo:iabp-4</t>
  </si>
  <si>
    <t xml:space="preserve">Lines › Learn › Intra-aortic balloon pump timing › Early inflation</t>
  </si>
  <si>
    <t xml:space="preserve">iabp-4</t>
  </si>
  <si>
    <t xml:space="preserve">Inflate too early and the balloon meets a ventricle that is still ejecting. The notch disappears, the aortic valve closes early and stroke volume falls.</t>
  </si>
  <si>
    <t xml:space="preserve">vo:iabp-5</t>
  </si>
  <si>
    <t xml:space="preserve">Lines › Learn › Intra-aortic balloon pump timing › Late inflation</t>
  </si>
  <si>
    <t xml:space="preserve">iabp-5</t>
  </si>
  <si>
    <t xml:space="preserve">Inflate late and you see the notch, then a gap, then a smaller augmentation. Less diastolic pressure means less coronary benefit.</t>
  </si>
  <si>
    <t xml:space="preserve">vo:iabp-6</t>
  </si>
  <si>
    <t xml:space="preserve">Lines › Learn › Intra-aortic balloon pump timing › Early deflation</t>
  </si>
  <si>
    <t xml:space="preserve">iabp-6</t>
  </si>
  <si>
    <t xml:space="preserve">Deflate too early and the augmentation falls away in mid-diastole; the pressure drifts back up before the next beat, so there is no afterload reduction — the assisted systole is no lower.</t>
  </si>
  <si>
    <t xml:space="preserve">vo:iabp-7</t>
  </si>
  <si>
    <t xml:space="preserve">Lines › Learn › Intra-aortic balloon pump timing › Late deflation — the dangerous one</t>
  </si>
  <si>
    <t xml:space="preserve">iabp-7</t>
  </si>
  <si>
    <t xml:space="preserve">Deflate late and the ventricle starts ejecting against a balloon that is still full. The assisted end-diastolic pressure is higher than the patient’s own: afterload and myocardial oxygen demand go up.</t>
  </si>
  <si>
    <t xml:space="preserve">vo:iabp-8</t>
  </si>
  <si>
    <t xml:space="preserve">Lines › Learn › Intra-aortic balloon pump timing › Your turn</t>
  </si>
  <si>
    <t xml:space="preserve">iabp-8</t>
  </si>
  <si>
    <t xml:space="preserve">Now read one yourself. Name the timing error from its shape, then try the next trace.</t>
  </si>
  <si>
    <t xml:space="preserve">vo:cvc-1</t>
  </si>
  <si>
    <t xml:space="preserve">Lines › Learn › Ultrasound-guided IJ: seeing the tip › Short axis</t>
  </si>
  <si>
    <t xml:space="preserve">cvc-1</t>
  </si>
  <si>
    <t xml:space="preserve">Transverse view of the right side of the neck, lateral on the left of the screen. Two black circles: the internal jugular vein, lateral and superficial, under the sternocleidomastoid — and the carotid artery, medial and deeper, with a thick bright wall.</t>
  </si>
  <si>
    <t xml:space="preserve">vo:cvc-2</t>
  </si>
  <si>
    <t xml:space="preserve">Lines › Learn › Ultrasound-guided IJ: seeing the tip › Compress</t>
  </si>
  <si>
    <t xml:space="preserve">cvc-2</t>
  </si>
  <si>
    <t xml:space="preserve">Press gently. The vein flattens and disappears; the artery stays round and keeps pulsing. If the vein will not compress, think thrombus.</t>
  </si>
  <si>
    <t xml:space="preserve">vo:cvc-3</t>
  </si>
  <si>
    <t xml:space="preserve">Lines › Learn › Ultrasound-guided IJ: seeing the tip › Fill the vein</t>
  </si>
  <si>
    <t xml:space="preserve">cvc-3</t>
  </si>
  <si>
    <t xml:space="preserve">Tilt head-down and the vein grows. In a hypovolaemic patient it is small and soft, and it collapses in front of the needle.</t>
  </si>
  <si>
    <t xml:space="preserve">vo:cvc-4</t>
  </si>
  <si>
    <t xml:space="preserve">Lines › Learn › Ultrasound-guided IJ: seeing the tip › The out-of-plane trap</t>
  </si>
  <si>
    <t xml:space="preserve">cvc-4</t>
  </si>
  <si>
    <t xml:space="preserve">Out of plane the beam is a thin slice. The bright dot is wherever the needle crosses it — here the shaft, at the front of the vein. The side view shows the truth: the tip is well over a centimetre deeper, already through the back wall.</t>
  </si>
  <si>
    <t xml:space="preserve">vo:cvc-5</t>
  </si>
  <si>
    <t xml:space="preserve">Lines › Learn › Ultrasound-guided IJ: seeing the tip › Walk the tip</t>
  </si>
  <si>
    <t xml:space="preserve">cvc-5</t>
  </si>
  <si>
    <t xml:space="preserve">Instead, slide the probe with the needle so the dot you see is the tip. Advance a little, find the tip, advance again — until it sits in the middle of the vein and dark blood fills the syringe.</t>
  </si>
  <si>
    <t xml:space="preserve">vo:cvc-6</t>
  </si>
  <si>
    <t xml:space="preserve">Lines › Learn › Ultrasound-guided IJ: seeing the tip › Long axis, in plane</t>
  </si>
  <si>
    <t xml:space="preserve">cvc-6</t>
  </si>
  <si>
    <t xml:space="preserve">Turn to long axis with the needle in plane and the whole shaft and tip are visible entering the vein. Harder to hold steady, but no guessing about depth.</t>
  </si>
  <si>
    <t xml:space="preserve">vo:cvc-7</t>
  </si>
  <si>
    <t xml:space="preserve">Lines › Learn › Ultrasound-guided IJ: seeing the tip › The wrong vessel</t>
  </si>
  <si>
    <t xml:space="preserve">cvc-7</t>
  </si>
  <si>
    <t xml:space="preserve">Aim too medially and the needle finds the carotid. Do not trust colour — in shock and hypoxaemia arterial blood can look dark. A pulsatile flow and an arterial pressure on the transducer settle it. Remove the needle and compress.</t>
  </si>
  <si>
    <t xml:space="preserve">vo:cvc-8</t>
  </si>
  <si>
    <t xml:space="preserve">Lines › Learn › Ultrasound-guided IJ: seeing the tip › When the vein lies on the artery</t>
  </si>
  <si>
    <t xml:space="preserve">cvc-8</t>
  </si>
  <si>
    <t xml:space="preserve">Turn the head too far and the vein rolls over the artery. A needle that goes through both walls of the vein arrives in the carotid. Keep the tip in view.</t>
  </si>
  <si>
    <t xml:space="preserve">vo:cvc-9</t>
  </si>
  <si>
    <t xml:space="preserve">Lines › Learn › Ultrasound-guided IJ: seeing the tip › See the wire</t>
  </si>
  <si>
    <t xml:space="preserve">cvc-9</t>
  </si>
  <si>
    <t xml:space="preserve">Before any dilator: find the wire as a bright echo inside the vein, in short axis and again in long axis. Only then dilate — to the depth of the vessel, never beyond — and keep hold of the wire until the catheter is in.</t>
  </si>
  <si>
    <t xml:space="preserve">vo:oc-1</t>
  </si>
  <si>
    <t xml:space="preserve">Lines › Learn › The pregnant circulation: position and postpartum haemorrhage › The term circulation</t>
  </si>
  <si>
    <t xml:space="preserve">oc-1</t>
  </si>
  <si>
    <t xml:space="preserve">At term the heart pumps about forty percent more blood: a bigger stroke volume, and a heart rate fifteen beats faster. The placenta is a low resistance circuit and progesterone relaxes vessels, so diastolic pressure runs a little low. Her blood volume is about six and a half litres.</t>
  </si>
  <si>
    <t xml:space="preserve">vo:oc-2</t>
  </si>
  <si>
    <t xml:space="preserve">Lines › Learn › The pregnant circulation: position and postpartum haemorrhage › Flat on her back</t>
  </si>
  <si>
    <t xml:space="preserve">oc-2</t>
  </si>
  <si>
    <t xml:space="preserve">Lay her flat, and the heavy uterus compresses the inferior vena cava against the spine. Less blood returns to the heart, output falls by up to a third, and the pressure drops. The placenta cannot autoregulate, so the baby feels the fall first.</t>
  </si>
  <si>
    <t xml:space="preserve">vo:oc-3</t>
  </si>
  <si>
    <t xml:space="preserve">Lines › Learn › The pregnant circulation: position and postpartum haemorrhage › Displace the uterus</t>
  </si>
  <si>
    <t xml:space="preserve">oc-3</t>
  </si>
  <si>
    <t xml:space="preserve">Push the uterus up and to her left, or tilt her fifteen to thirty degrees, and venous return comes back within a minute. In a collapsed woman beyond about twenty weeks, this goes with the first compressions.</t>
  </si>
  <si>
    <t xml:space="preserve">vo:oc-4</t>
  </si>
  <si>
    <t xml:space="preserve">Lines › Learn › The pregnant circulation: position and postpartum haemorrhage › A litre lost</t>
  </si>
  <si>
    <t xml:space="preserve">oc-4</t>
  </si>
  <si>
    <t xml:space="preserve">After delivery she bleeds. A litre is only about fifteen percent of her expanded volume, so the pressure barely changes and the heart rate creeps up. The shock index, heart rate divided by systolic pressure, is already close to one.</t>
  </si>
  <si>
    <t xml:space="preserve">vo:oc-5</t>
  </si>
  <si>
    <t xml:space="preserve">Lines › Learn › The pregnant circulation: position and postpartum haemorrhage › Nearly two litres</t>
  </si>
  <si>
    <t xml:space="preserve">oc-5</t>
  </si>
  <si>
    <t xml:space="preserve">At nearly two litres she is compensating hard: a fast heart rate, a narrow pulse pressure, cool hands. The systolic pressure is still around ninety. Young pregnant women hold their pressure until very late; a shock index well above one tells the truth.</t>
  </si>
  <si>
    <t xml:space="preserve">vo:oc-6</t>
  </si>
  <si>
    <t xml:space="preserve">Lines › Learn › The pregnant circulation: position and postpartum haemorrhage › Decompensation</t>
  </si>
  <si>
    <t xml:space="preserve">oc-6</t>
  </si>
  <si>
    <t xml:space="preserve">Beyond about a third of her volume the vasoconstriction runs out, and the pressure falls fast. This is late. She needs blood, not more crystalloid, and the bleeding stopped.</t>
  </si>
  <si>
    <t xml:space="preserve">vo:oc-7</t>
  </si>
  <si>
    <t xml:space="preserve">Lines › Learn › The pregnant circulation: position and postpartum haemorrhage › Stop the bleeding, replace blood</t>
  </si>
  <si>
    <t xml:space="preserve">oc-7</t>
  </si>
  <si>
    <t xml:space="preserve">Treat the cause and the volume together: uterine massage and uterotonic drugs for an atonic uterus, the commonest cause; tranexamic acid early; warmed blood and products; calcium; and early obstetric and anaesthetic help. Here, blood restores her output.</t>
  </si>
  <si>
    <t xml:space="preserve">vo:ps-1</t>
  </si>
  <si>
    <t xml:space="preserve">Lines › Learn › Shock in a child: the pressure is the last thing to go › A well four year old</t>
  </si>
  <si>
    <t xml:space="preserve">ps-1</t>
  </si>
  <si>
    <t xml:space="preserve">A well four year old weighing sixteen kilos. The heart rate is about a hundred and the systolic pressure about ninety. Her whole blood volume is only about eighty millilitres per kilo, around one point three litres. A child’s small heart cannot raise its stroke volume much, so output depends on heart rate.</t>
  </si>
  <si>
    <t xml:space="preserve">vo:ps-2</t>
  </si>
  <si>
    <t xml:space="preserve">Lines › Learn › Shock in a child: the pressure is the last thing to go › Fifteen percent lost</t>
  </si>
  <si>
    <t xml:space="preserve">ps-2</t>
  </si>
  <si>
    <t xml:space="preserve">She has lost about two hundred millilitres, fifteen percent of her volume. The heart rate climbs past the normal range, the pulse pressure narrows, and capillary refill slows. The blood pressure has not fallen at all.</t>
  </si>
  <si>
    <t xml:space="preserve">vo:ps-3</t>
  </si>
  <si>
    <t xml:space="preserve">Lines › Learn › Shock in a child: the pressure is the last thing to go › Compensated shock</t>
  </si>
  <si>
    <t xml:space="preserve">ps-3</t>
  </si>
  <si>
    <t xml:space="preserve">At a quarter of her volume she is pale, mottled and tachycardic above one hundred and fifty, with a capillary refill of four seconds. Her systolic pressure is still normal. This is compensated shock, and it must be recognised now, from the heart rate and the skin.</t>
  </si>
  <si>
    <t xml:space="preserve">vo:ps-4</t>
  </si>
  <si>
    <t xml:space="preserve">Lines › Learn › Shock in a child: the pressure is the last thing to go › Decompensation</t>
  </si>
  <si>
    <t xml:space="preserve">ps-4</t>
  </si>
  <si>
    <t xml:space="preserve">Beyond about a third, vasoconstriction can no longer hold the pressure, and it falls below seventy plus twice her age. Hypotension in a child is a late sign: she has lost nearly forty percent of her blood.</t>
  </si>
  <si>
    <t xml:space="preserve">vo:ps-5</t>
  </si>
  <si>
    <t xml:space="preserve">Lines › Learn › Shock in a child: the pressure is the last thing to go › Bradycardia: arrest is close</t>
  </si>
  <si>
    <t xml:space="preserve">ps-5</t>
  </si>
  <si>
    <t xml:space="preserve">Now the heart rate falls. In a shocked child, bradycardia is not improvement: it means the heart is failing from lack of oxygen, and cardiac arrest is close.</t>
  </si>
  <si>
    <t xml:space="preserve">vo:ps-6</t>
  </si>
  <si>
    <t xml:space="preserve">Lines › Learn › Shock in a child: the pressure is the last thing to go › Blood, in small measured boluses</t>
  </si>
  <si>
    <t xml:space="preserve">ps-6</t>
  </si>
  <si>
    <t xml:space="preserve">Treat with blood in boluses of about ten millilitres per kilo, reassessing heart rate, pressure and refill after each, while the bleeding is controlled. After two boluses her pressure and heart rate have recovered. Doses and volumes follow your paediatric protocol.</t>
  </si>
  <si>
    <t xml:space="preserve">vo:tib-1</t>
  </si>
  <si>
    <t xml:space="preserve">Brain › Learn › Time is brain: a left M1 occlusion › Four inflows, one ring</t>
  </si>
  <si>
    <t xml:space="preserve">tib-1</t>
  </si>
  <si>
    <t xml:space="preserve">Two internal carotids and two vertebral arteries feed the brain. At its base, the Circle of Willis links them, so flow can reroute around a blocked feeder.</t>
  </si>
  <si>
    <t xml:space="preserve">vo:tib-2</t>
  </si>
  <si>
    <t xml:space="preserve">Brain › Learn › Time is brain: a left M1 occlusion › A clot in the left M1</t>
  </si>
  <si>
    <t xml:space="preserve">tib-2</t>
  </si>
  <si>
    <t xml:space="preserve">A thrombus lodges in the left middle cerebral artery, beyond the circle. Nothing in the ring can bypass it. Flow past the clot stops.</t>
  </si>
  <si>
    <t xml:space="preserve">vo:tib-3</t>
  </si>
  <si>
    <t xml:space="preserve">Brain › Learn › Time is brain: a left M1 occlusion › Core and penumbra</t>
  </si>
  <si>
    <t xml:space="preserve">tib-3</t>
  </si>
  <si>
    <t xml:space="preserve">The deep territory, fed only by end arteries, dies within minutes. That is the core, in magenta. Around it, tissue fed thinly by collaterals from the anterior and posterior cerebral arteries is silent but alive. That is the penumbra, in amber.</t>
  </si>
  <si>
    <t xml:space="preserve">vo:tib-4</t>
  </si>
  <si>
    <t xml:space="preserve">Brain › Learn › Time is brain: a left M1 occlusion › The penumbra shrinks with time</t>
  </si>
  <si>
    <t xml:space="preserve">tib-4</t>
  </si>
  <si>
    <t xml:space="preserve">Hour by hour, penumbra converts to core. The lower the flow in a region, the sooner it infarcts.</t>
  </si>
  <si>
    <t xml:space="preserve">vo:tib-5</t>
  </si>
  <si>
    <t xml:space="preserve">Brain › Learn › Time is brain: a left M1 occlusion › Collateral flow is pressure-passive</t>
  </si>
  <si>
    <t xml:space="preserve">tib-5</t>
  </si>
  <si>
    <t xml:space="preserve">Ischaemic vessels have lost autoregulation, so collateral flow follows blood pressure. Let the mean arterial pressure fall to sixty and the core grows faster.</t>
  </si>
  <si>
    <t xml:space="preserve">vo:tib-6</t>
  </si>
  <si>
    <t xml:space="preserve">Brain › Learn › Time is brain: a left M1 occlusion › Protect the pressure</t>
  </si>
  <si>
    <t xml:space="preserve">tib-6</t>
  </si>
  <si>
    <t xml:space="preserve">Restore the pressure, and the penumbra holds on longer.</t>
  </si>
  <si>
    <t xml:space="preserve">vo:tib-7</t>
  </si>
  <si>
    <t xml:space="preserve">Brain › Learn › Time is brain: a left M1 occlusion › Reopen the artery</t>
  </si>
  <si>
    <t xml:space="preserve">tib-7</t>
  </si>
  <si>
    <t xml:space="preserve">Thrombectomy at four hours restores flow. The core that already died stays. Everything still in the penumbra is saved. That difference is the reason for speed.</t>
  </si>
  <si>
    <t xml:space="preserve">vo:tib-8</t>
  </si>
  <si>
    <t xml:space="preserve">Brain › Learn › Time is brain: a left M1 occlusion › Two patients, one clot</t>
  </si>
  <si>
    <t xml:space="preserve">tib-8</t>
  </si>
  <si>
    <t xml:space="preserve">The same clot, a different outcome. The size of the final infarct is set by collaterals, blood pressure and, above all, time to reperfusion.</t>
  </si>
  <si>
    <t xml:space="preserve">vo:tm-1</t>
  </si>
  <si>
    <t xml:space="preserve">Brain › Learn › Stroke time machine: onset to reperfusion › 0 min · Onset</t>
  </si>
  <si>
    <t xml:space="preserve">tm-1</t>
  </si>
  <si>
    <t xml:space="preserve">Minute zero. A clot blocks the left middle cerebral artery. Right-sided weakness and aphasia start at once.</t>
  </si>
  <si>
    <t xml:space="preserve">vo:tm-2</t>
  </si>
  <si>
    <t xml:space="preserve">Brain › Learn › Stroke time machine: onset to reperfusion › 0–45 min · Scene and transport</t>
  </si>
  <si>
    <t xml:space="preserve">tm-2</t>
  </si>
  <si>
    <t xml:space="preserve">While the crew recognises a large-vessel stroke and transports, the core is already growing from the deep territory outward.</t>
  </si>
  <si>
    <t xml:space="preserve">vo:tm-3</t>
  </si>
  <si>
    <t xml:space="preserve">Brain › Learn › Stroke time machine: onset to reperfusion › 45–60 min · Door → non-contrast CT</t>
  </si>
  <si>
    <t xml:space="preserve">tm-3</t>
  </si>
  <si>
    <t xml:space="preserve">At the hospital the first scan is a non-contrast CT, to exclude bleeding. There is no haemorrhage. Look for the hyperdense clot in the left middle cerebral artery, and subtle loss of grey–white differentiation in the deep grey matter.</t>
  </si>
  <si>
    <t xml:space="preserve">vo:tm-4</t>
  </si>
  <si>
    <t xml:space="preserve">Brain › Learn › Stroke time machine: onset to reperfusion › CT angiogram</t>
  </si>
  <si>
    <t xml:space="preserve">tm-4</t>
  </si>
  <si>
    <t xml:space="preserve">The CT angiogram shows the cut-off: contrast stops at the clot, and the branches beyond fill only faintly, backwards, through collaterals.</t>
  </si>
  <si>
    <t xml:space="preserve">vo:tm-5</t>
  </si>
  <si>
    <t xml:space="preserve">Brain › Learn › Stroke time machine: onset to reperfusion › CT perfusion</t>
  </si>
  <si>
    <t xml:space="preserve">tm-5</t>
  </si>
  <si>
    <t xml:space="preserve">Perfusion maps separate tissue that is already lost, with very low blood flow, from tissue that is only delayed. A large delayed area around a small core is a mismatch — salvageable brain.</t>
  </si>
  <si>
    <t xml:space="preserve">vo:tm-6</t>
  </si>
  <si>
    <t xml:space="preserve">Brain › Learn › Stroke time machine: onset to reperfusion › 72–150 min · Thrombectomy</t>
  </si>
  <si>
    <t xml:space="preserve">tm-6</t>
  </si>
  <si>
    <t xml:space="preserve">The patient goes for thrombectomy. At two and a half hours from onset the clot is pulled out and flow returns.</t>
  </si>
  <si>
    <t xml:space="preserve">vo:tm-7</t>
  </si>
  <si>
    <t xml:space="preserve">Brain › Learn › Stroke time machine: onset to reperfusion › 24 h · Final infarct</t>
  </si>
  <si>
    <t xml:space="preserve">tm-7</t>
  </si>
  <si>
    <t xml:space="preserve">A day later, the final infarct is the core that existed at reperfusion. Everything that was still penumbra has been saved.</t>
  </si>
  <si>
    <t xml:space="preserve">vo:tm-8</t>
  </si>
  <si>
    <t xml:space="preserve">Brain › Learn › Stroke time machine: onset to reperfusion › What every hour costs</t>
  </si>
  <si>
    <t xml:space="preserve">tm-8</t>
  </si>
  <si>
    <t xml:space="preserve">Use the numbers under the images: the same patient, reopened an hour later, keeps a larger infarct. Minutes at every step — scene, door, scan, groin — become brain.</t>
  </si>
  <si>
    <t xml:space="preserve">vo:lvo-1</t>
  </si>
  <si>
    <t xml:space="preserve">Brain › Learn › Large-vessel occlusion: recognise, confirm, decide › Cortical signs point to a large vessel</t>
  </si>
  <si>
    <t xml:space="preserve">lvo-1</t>
  </si>
  <si>
    <t xml:space="preserve">A left middle cerebral artery occlusion takes out the language cortex and the motor strip for face and arm. Expect aphasia, right-sided weakness worse in face and arm than leg, and the eyes deviated toward the left — toward the lesion.</t>
  </si>
  <si>
    <t xml:space="preserve">vo:lvo-2</t>
  </si>
  <si>
    <t xml:space="preserve">Brain › Learn › Large-vessel occlusion: recognise, confirm, decide › The other side looks different</t>
  </si>
  <si>
    <t xml:space="preserve">lvo-2</t>
  </si>
  <si>
    <t xml:space="preserve">On the right, the same clot causes left-sided weakness with neglect: the patient ignores the left side of the world and may deny the weakness. Cortical signs like these, with a dense deficit, suggest a large vessel rather than a small lacune.</t>
  </si>
  <si>
    <t xml:space="preserve">vo:lvo-3</t>
  </si>
  <si>
    <t xml:space="preserve">Brain › Learn › Large-vessel occlusion: recognise, confirm, decide › CTA confirms the target</t>
  </si>
  <si>
    <t xml:space="preserve">lvo-3</t>
  </si>
  <si>
    <t xml:space="preserve">Back to the left-sided stroke. The angiogram shows where contrast stops. That is the target for thrombectomy.</t>
  </si>
  <si>
    <t xml:space="preserve">vo:lvo-4</t>
  </si>
  <si>
    <t xml:space="preserve">Brain › Learn › Large-vessel occlusion: recognise, confirm, decide › Poor collaterals: a fast progressor</t>
  </si>
  <si>
    <t xml:space="preserve">lvo-4</t>
  </si>
  <si>
    <t xml:space="preserve">With poor collaterals, almost the whole territory is already core by ninety minutes. The perfusion maps show little left to save.</t>
  </si>
  <si>
    <t xml:space="preserve">vo:lvo-5</t>
  </si>
  <si>
    <t xml:space="preserve">Brain › Learn › Large-vessel occlusion: recognise, confirm, decide › Good collaterals: a slow progressor</t>
  </si>
  <si>
    <t xml:space="preserve">lvo-5</t>
  </si>
  <si>
    <t xml:space="preserve">With good collaterals, the same clot at the same time leaves a small core and a large penumbra. These patients can benefit even many hours later.</t>
  </si>
  <si>
    <t xml:space="preserve">vo:lvo-6</t>
  </si>
  <si>
    <t xml:space="preserve">Brain › Learn › Large-vessel occlusion: recognise, confirm, decide › Transport decisions spend minutes</t>
  </si>
  <si>
    <t xml:space="preserve">lvo-6</t>
  </si>
  <si>
    <t xml:space="preserve">For a moderate-collateral patient, look at the final-core numbers: reopening now, in one hour, or in three hours. A detour to a hospital that cannot do thrombectomy usually costs that hour. That is why large-vessel screening in the field matters.</t>
  </si>
  <si>
    <t xml:space="preserve">vo:ich-1</t>
  </si>
  <si>
    <t xml:space="preserve">Brain › Learn › Intracerebral haemorrhage: the first hours › A bleed, not a clot</t>
  </si>
  <si>
    <t xml:space="preserve">ich-1</t>
  </si>
  <si>
    <t xml:space="preserve">A hypertensive bleed in the left basal ganglia. On non-contrast CT fresh blood is bright. This is why every stroke gets a scan before any clot-dissolving drug.</t>
  </si>
  <si>
    <t xml:space="preserve">vo:ich-2</t>
  </si>
  <si>
    <t xml:space="preserve">Brain › Learn › Intracerebral haemorrhage: the first hours › Estimating the volume</t>
  </si>
  <si>
    <t xml:space="preserve">ich-2</t>
  </si>
  <si>
    <t xml:space="preserve">Bedside volume estimate: multiply the largest diameter by the perpendicular diameter by the number of slices with blood, in centimetres, and halve it. Thirty millilitres is a common threshold for a worse outcome.</t>
  </si>
  <si>
    <t xml:space="preserve">vo:ich-3</t>
  </si>
  <si>
    <t xml:space="preserve">Brain › Learn › Intracerebral haemorrhage: the first hours › It grows — faster at high pressure</t>
  </si>
  <si>
    <t xml:space="preserve">ich-3</t>
  </si>
  <si>
    <t xml:space="preserve">Many haematomas keep growing in the first few hours. With a systolic pressure near one hundred and ninety, watch the volume and the midline shift climb.</t>
  </si>
  <si>
    <t xml:space="preserve">vo:ich-4</t>
  </si>
  <si>
    <t xml:space="preserve">Brain › Learn › Intracerebral haemorrhage: the first hours › Lower the pressure early</t>
  </si>
  <si>
    <t xml:space="preserve">ich-4</t>
  </si>
  <si>
    <t xml:space="preserve">Rewind and lower the systolic pressure to about one hundred and forty from the start. The same bleed grows less. Early, smooth pressure control and reversing any anticoagulant are the core of the first hour.</t>
  </si>
  <si>
    <t xml:space="preserve">vo:ich-5</t>
  </si>
  <si>
    <t xml:space="preserve">Brain › Learn › Intracerebral haemorrhage: the first hours › Mass effect</t>
  </si>
  <si>
    <t xml:space="preserve">ich-5</t>
  </si>
  <si>
    <t xml:space="preserve">A growing clot pushes the midline across and raises intracranial pressure. Falling consciousness, a new blown pupil or vomiting means the mass effect is winning.</t>
  </si>
  <si>
    <t xml:space="preserve">vo:sah-1</t>
  </si>
  <si>
    <t xml:space="preserve">Brain › Learn › Subarachnoid haemorrhage and vasospasm › Blood in the cisterns</t>
  </si>
  <si>
    <t xml:space="preserve">sah-1</t>
  </si>
  <si>
    <t xml:space="preserve">A ruptured aneurysm on the circle of Willis fills the basal cisterns and the Sylvian fissures with blood: the bright star shape around the circle on non-contrast CT. The story is a sudden, worst-ever headache.</t>
  </si>
  <si>
    <t xml:space="preserve">vo:sah-2</t>
  </si>
  <si>
    <t xml:space="preserve">Brain › Learn › Subarachnoid haemorrhage and vasospasm › Where aneurysms sit</t>
  </si>
  <si>
    <t xml:space="preserve">sah-2</t>
  </si>
  <si>
    <t xml:space="preserve">Most aneurysms arise at branch points of the circle: the anterior communicating, the posterior communicating origin, and the middle cerebral bifurcation. Securing the aneurysm early prevents a re-bleed.</t>
  </si>
  <si>
    <t xml:space="preserve">vo:sah-3</t>
  </si>
  <si>
    <t xml:space="preserve">Brain › Learn › Subarachnoid haemorrhage and vasospasm › Days 3 to 14: vasospasm</t>
  </si>
  <si>
    <t xml:space="preserve">sah-3</t>
  </si>
  <si>
    <t xml:space="preserve">Days later, blood breakdown products make the arteries around the circle constrict. Narrowed vessels on angiography, and delayed ischaemia in their territories: a new deficit or falling consciousness between day three and day fourteen.</t>
  </si>
  <si>
    <t xml:space="preserve">vo:sah-4</t>
  </si>
  <si>
    <t xml:space="preserve">Brain › Learn › Subarachnoid haemorrhage and vasospasm › Protecting the brain</t>
  </si>
  <si>
    <t xml:space="preserve">sah-4</t>
  </si>
  <si>
    <t xml:space="preserve">Keep the patient euvolaemic, avoid hypotension, give nimodipine, and watch closely for a new deficit so spasm can be treated early.</t>
  </si>
  <si>
    <t xml:space="preserve">vo:icp-1</t>
  </si>
  <si>
    <t xml:space="preserve">Brain › Learn › ICP, herniation and the EVD › A closed box</t>
  </si>
  <si>
    <t xml:space="preserve">icp-1</t>
  </si>
  <si>
    <t xml:space="preserve">The skull holds brain, blood and cerebrospinal fluid. Its volume is fixed, so anything new — a haematoma, swelling, trapped fluid — has to be paid for by pushing something else out.</t>
  </si>
  <si>
    <t xml:space="preserve">vo:icp-2</t>
  </si>
  <si>
    <t xml:space="preserve">Brain › Learn › ICP, herniation and the EVD › Compensation</t>
  </si>
  <si>
    <t xml:space="preserve">icp-2</t>
  </si>
  <si>
    <t xml:space="preserve">A twenty millilitre haematoma. Cerebrospinal fluid moves down into the spinal canal and venous blood leaves the skull. The pressure barely moves: this is the flat part of the curve.</t>
  </si>
  <si>
    <t xml:space="preserve">vo:icp-3</t>
  </si>
  <si>
    <t xml:space="preserve">Brain › Learn › ICP, herniation and the EVD › Past the knee</t>
  </si>
  <si>
    <t xml:space="preserve">icp-3</t>
  </si>
  <si>
    <t xml:space="preserve">At about fifty millilitres the buffers are used up. Every extra millilitre now raises the pressure steeply. The waveform shows it too: the second peak rises above the first as the brain stiffens.</t>
  </si>
  <si>
    <t xml:space="preserve">vo:icp-4</t>
  </si>
  <si>
    <t xml:space="preserve">Brain › Learn › ICP, herniation and the EVD › Cerebral perfusion pressure</t>
  </si>
  <si>
    <t xml:space="preserve">icp-4</t>
  </si>
  <si>
    <t xml:space="preserve">Blood reaches the brain at the mean arterial pressure minus the intracranial pressure. Let the blood pressure fall to a mean of seventy and the perfusion pressure drops toward forty: ischaemia without any blocked artery.</t>
  </si>
  <si>
    <t xml:space="preserve">vo:icp-5</t>
  </si>
  <si>
    <t xml:space="preserve">Brain › Learn › ICP, herniation and the EVD › Uncal herniation</t>
  </si>
  <si>
    <t xml:space="preserve">icp-5</t>
  </si>
  <si>
    <t xml:space="preserve">More volume, and the midline shifts. The medial temporal lobe is pushed over the tentorial edge and compresses the third nerve: the pupil on the side of the mass dilates and stops reacting, the opposite limbs weaken and consciousness falls.</t>
  </si>
  <si>
    <t xml:space="preserve">vo:icp-6</t>
  </si>
  <si>
    <t xml:space="preserve">Brain › Learn › ICP, herniation and the EVD › The Cushing response</t>
  </si>
  <si>
    <t xml:space="preserve">icp-6</t>
  </si>
  <si>
    <t xml:space="preserve">When the brainstem itself is squeezed, the body drives the blood pressure up to keep perfusing it, the heart slows and breathing becomes irregular. This is late, and it means herniation is under way.</t>
  </si>
  <si>
    <t xml:space="preserve">vo:icp-7</t>
  </si>
  <si>
    <t xml:space="preserve">Brain › Learn › ICP, herniation and the EVD › Buy time</t>
  </si>
  <si>
    <t xml:space="preserve">icp-7</t>
  </si>
  <si>
    <t xml:space="preserve">Head up thirty degrees with the neck straight, so veins drain. Hyperosmolar therapy draws water out of the brain. A short period of lower carbon dioxide constricts the vessels — useful as a bridge, harmful if prolonged, because it cuts blood flow too.</t>
  </si>
  <si>
    <t xml:space="preserve">vo:icp-8</t>
  </si>
  <si>
    <t xml:space="preserve">Brain › Learn › ICP, herniation and the EVD › Remove the volume</t>
  </si>
  <si>
    <t xml:space="preserve">icp-8</t>
  </si>
  <si>
    <t xml:space="preserve">The definitive answer is to remove the volume or open the box: evacuate the clot, or take off a piece of skull. The curve flattens and the pupils recover if it is in time.</t>
  </si>
  <si>
    <t xml:space="preserve">vo:icp-9</t>
  </si>
  <si>
    <t xml:space="preserve">Brain › Learn › ICP, herniation and the EVD › Hydrocephalus</t>
  </si>
  <si>
    <t xml:space="preserve">icp-9</t>
  </si>
  <si>
    <t xml:space="preserve">A different cause: after subarachnoid haemorrhage, blood blocks the drainage of cerebrospinal fluid. The ventricles fill with fluid that is still being made and balloon on the scan, and the pressure rises without any midline shift.</t>
  </si>
  <si>
    <t xml:space="preserve">vo:icp-10</t>
  </si>
  <si>
    <t xml:space="preserve">Brain › Learn › ICP, herniation and the EVD › External ventricular drain</t>
  </si>
  <si>
    <t xml:space="preserve">icp-10</t>
  </si>
  <si>
    <t xml:space="preserve">An external ventricular drain, zeroed at the tragus — level with the foramen of Monro. Open at fifteen centimetres of water, fluid drains whenever the pressure exceeds that height, and the pressure settles there.</t>
  </si>
  <si>
    <t xml:space="preserve">vo:icp-11</t>
  </si>
  <si>
    <t xml:space="preserve">Brain › Learn › ICP, herniation and the EVD › Levelling errors</t>
  </si>
  <si>
    <t xml:space="preserve">icp-11</t>
  </si>
  <si>
    <t xml:space="preserve">Raise the head of the bed without moving the chamber and the drain is now effectively fifteen centimetres too low. It overdrains: the ventricles collapse and bridging veins can tear. Re-level every time the patient or the bed moves.</t>
  </si>
  <si>
    <t xml:space="preserve">vo:icp-12</t>
  </si>
  <si>
    <t xml:space="preserve">Brain › Learn › ICP, herniation and the EVD › Clamped</t>
  </si>
  <si>
    <t xml:space="preserve">icp-12</t>
  </si>
  <si>
    <t xml:space="preserve">Left clamped after a transfer, nothing drains and the pressure climbs back. Clamp only for the time the protocol allows, and read the pressure against the patient, not the clock.</t>
  </si>
  <si>
    <t xml:space="preserve">vo:vsd-1</t>
  </si>
  <si>
    <t xml:space="preserve">Heart › Learn › Ventricular septal defect: from murmur to Eisenmenger › A loud murmur</t>
  </si>
  <si>
    <t xml:space="preserve">vsd-1</t>
  </si>
  <si>
    <t xml:space="preserve">A well child with a loud, harsh murmur at the lower left sternal border that lasts all through systole. The heart itself looks normal in size.</t>
  </si>
  <si>
    <t xml:space="preserve">vo:vsd-2</t>
  </si>
  <si>
    <t xml:space="preserve">Heart › Learn › Ventricular septal defect: from murmur to Eisenmenger › The defect</t>
  </si>
  <si>
    <t xml:space="preserve">vsd-2</t>
  </si>
  <si>
    <t xml:space="preserve">Here is the cause: a small hole in the ventricular septum, just below the aortic valve.</t>
  </si>
  <si>
    <t xml:space="preserve">vo:vsd-3</t>
  </si>
  <si>
    <t xml:space="preserve">Heart › Learn › Ventricular septal defect: from murmur to Eisenmenger › A big gradient makes a fast jet</t>
  </si>
  <si>
    <t xml:space="preserve">vsd-3</t>
  </si>
  <si>
    <t xml:space="preserve">In systole the left ventricle generates about one hundred and twenty millimetres of mercury, the right about twenty-five. Across a small hole that gradient drives a jet near five metres per second. On colour Doppler it aliases into a mosaic. Loud murmur, small shunt.</t>
  </si>
  <si>
    <t xml:space="preserve">vo:vsd-4</t>
  </si>
  <si>
    <t xml:space="preserve">Heart › Learn › Ventricular septal defect: from murmur to Eisenmenger › A large defect: more flow, less noise</t>
  </si>
  <si>
    <t xml:space="preserve">vsd-4</t>
  </si>
  <si>
    <t xml:space="preserve">Now a large defect. Pressures on the two sides move closer, so the jet is slower and the murmur can be softer — yet far more blood crosses. Pulmonary flow is more than twice systemic flow.</t>
  </si>
  <si>
    <t xml:space="preserve">vo:vsd-5</t>
  </si>
  <si>
    <t xml:space="preserve">Heart › Learn › Ventricular septal defect: from murmur to Eisenmenger › The lungs are flooded</t>
  </si>
  <si>
    <t xml:space="preserve">vsd-5</t>
  </si>
  <si>
    <t xml:space="preserve">The shunted blood goes straight out through the pulmonary artery. The lungs carry the extra flow at higher pressure: the infant breathes fast, sweats with feeds and fails to gain weight.</t>
  </si>
  <si>
    <t xml:space="preserve">vo:vsd-6</t>
  </si>
  <si>
    <t xml:space="preserve">Heart › Learn › Ventricular septal defect: from murmur to Eisenmenger › The left heart takes the volume</t>
  </si>
  <si>
    <t xml:space="preserve">vsd-6</t>
  </si>
  <si>
    <t xml:space="preserve">All that extra pulmonary blood returns to the left atrium and left ventricle, which dilate. A VSD volume-loads the LEFT heart, even though the hole feeds the right ventricle.</t>
  </si>
  <si>
    <t xml:space="preserve">vo:vsd-7</t>
  </si>
  <si>
    <t xml:space="preserve">Heart › Learn › Ventricular septal defect: from murmur to Eisenmenger › Years of overcirculation</t>
  </si>
  <si>
    <t xml:space="preserve">vsd-7</t>
  </si>
  <si>
    <t xml:space="preserve">Left unrepaired, years of high flow and pressure remodel the small pulmonary arteries and resistance climbs. Watch the right ventricle thicken, the gradient shrink, flow become bidirectional, and finally reverse: right to left.</t>
  </si>
  <si>
    <t xml:space="preserve">vo:vsd-8</t>
  </si>
  <si>
    <t xml:space="preserve">Heart › Learn › Ventricular septal defect: from murmur to Eisenmenger › Eisenmenger syndrome</t>
  </si>
  <si>
    <t xml:space="preserve">vsd-8</t>
  </si>
  <si>
    <t xml:space="preserve">Now deoxygenated blood enters the aorta. The patient is cyanosed and clubbed, and the murmur has faded. At this stage closing the hole would remove the right ventricle’s only escape valve, so repair is no longer possible.</t>
  </si>
  <si>
    <t xml:space="preserve">vo:vsd-9</t>
  </si>
  <si>
    <t xml:space="preserve">Heart › Learn › Ventricular septal defect: from murmur to Eisenmenger › Repair in time</t>
  </si>
  <si>
    <t xml:space="preserve">vsd-9</t>
  </si>
  <si>
    <t xml:space="preserve">Closed in infancy, before the pulmonary vessels remodel, the circulation returns to two separate circuits and the heart remodels back toward normal. Many small muscular defects close on their own.</t>
  </si>
  <si>
    <t xml:space="preserve">vo:nt-1</t>
  </si>
  <si>
    <t xml:space="preserve">Heart › Learn › Newborn transition and pulmonary hypertension (PPHN) › Before the first breath</t>
  </si>
  <si>
    <t xml:space="preserve">nt-1</t>
  </si>
  <si>
    <t xml:space="preserve">Before birth the lungs are full of fluid and their vessels are tightly constricted, so pulmonary resistance is very high. The placenta, not the lungs, supplies oxygen. Blood from the right heart bypasses the lungs through the foramen ovale and the ductus arteriosus.</t>
  </si>
  <si>
    <t xml:space="preserve">vo:nt-2</t>
  </si>
  <si>
    <t xml:space="preserve">Heart › Learn › Newborn transition and pulmonary hypertension (PPHN) › The first breaths</t>
  </si>
  <si>
    <t xml:space="preserve">nt-2</t>
  </si>
  <si>
    <t xml:space="preserve">With the first breaths, air replaces lung fluid and oxygen relaxes the pulmonary vessels. Resistance falls steeply, pulmonary blood flow rises, and flow through the ductus turns around: now it runs from the aorta into the pulmonary artery.</t>
  </si>
  <si>
    <t xml:space="preserve">vo:nt-3</t>
  </si>
  <si>
    <t xml:space="preserve">Heart › Learn › Newborn transition and pulmonary hypertension (PPHN) › The first ten minutes</t>
  </si>
  <si>
    <t xml:space="preserve">nt-3</t>
  </si>
  <si>
    <t xml:space="preserve">Saturation rises slowly after birth. A healthy baby may be only sixty to sixty five percent at one minute, and eighty to eighty five at five. Measure on the right hand or wrist, which is supplied before the ductus, and aim for the target band, not a hundred percent.</t>
  </si>
  <si>
    <t xml:space="preserve">vo:nt-4</t>
  </si>
  <si>
    <t xml:space="preserve">Heart › Learn › Newborn transition and pulmonary hypertension (PPHN) › The duct closes</t>
  </si>
  <si>
    <t xml:space="preserve">nt-4</t>
  </si>
  <si>
    <t xml:space="preserve">Over hours to days the ductus constricts and closes, and the flap of the foramen ovale is held shut by the higher left atrial pressure. Two circuits now run in series, as in the adult.</t>
  </si>
  <si>
    <t xml:space="preserve">vo:nt-5</t>
  </si>
  <si>
    <t xml:space="preserve">Heart › Learn › Newborn transition and pulmonary hypertension (PPHN) › When resistance will not fall</t>
  </si>
  <si>
    <t xml:space="preserve">nt-5</t>
  </si>
  <si>
    <t xml:space="preserve">In persistent pulmonary hypertension of the newborn, the pulmonary vessels stay constricted. Pulmonary pressure stays close to or above aortic pressure, and blood crosses the ductus from right to left, into the descending aorta. The right hand stays pink while the feet are blue: compare a pre-ductal and a post-ductal probe.</t>
  </si>
  <si>
    <t xml:space="preserve">vo:nt-6</t>
  </si>
  <si>
    <t xml:space="preserve">Heart › Learn › Newborn transition and pulmonary hypertension (PPHN) › A vicious circle</t>
  </si>
  <si>
    <t xml:space="preserve">nt-6</t>
  </si>
  <si>
    <t xml:space="preserve">Hypoxia, acidosis, cold and a high carbon dioxide all constrict the pulmonary vessels further. More blood bypasses the lungs, the baby becomes more hypoxic and acidotic, and resistance climbs again.</t>
  </si>
  <si>
    <t xml:space="preserve">vo:nt-7</t>
  </si>
  <si>
    <t xml:space="preserve">Heart › Learn › Newborn transition and pulmonary hypertension (PPHN) › Breaking the circle</t>
  </si>
  <si>
    <t xml:space="preserve">nt-7</t>
  </si>
  <si>
    <t xml:space="preserve">Treatment breaks the circle: oxygen, gentle ventilation to a normal carbon dioxide, warmth, correcting acidosis, surfactant where the lungs need it, and inhaled nitric oxide, which relaxes only the pulmonary vessels. As resistance falls, ductal flow turns left to right and the difference disappears.</t>
  </si>
  <si>
    <t xml:space="preserve">vo:nt-8</t>
  </si>
  <si>
    <t xml:space="preserve">Heart › Learn › Newborn transition and pulmonary hypertension (PPHN) › No difference is not reassurance</t>
  </si>
  <si>
    <t xml:space="preserve">nt-8</t>
  </si>
  <si>
    <t xml:space="preserve">One trap. If the right heart struggles and right atrial pressure rises, blood also crosses the foramen ovale from right to left. Then the hand and the foot are both low, with no difference between them. A low pre-ductal saturation still needs an explanation.</t>
  </si>
  <si>
    <t xml:space="preserve">vo:fast-1</t>
  </si>
  <si>
    <t xml:space="preserve">Abdomen › Learn › FAST: where free blood goes — and what it misses › Four places to look</t>
  </si>
  <si>
    <t xml:space="preserve">fast-1</t>
  </si>
  <si>
    <t xml:space="preserve">Lying flat, free fluid in the abdomen runs to the lowest spaces: between the liver and the right kidney, around the spleen, and down into the pelvis. The FAST exam puts a probe over each of those, plus under the ribs to see the pericardium.</t>
  </si>
  <si>
    <t xml:space="preserve">vo:fast-2</t>
  </si>
  <si>
    <t xml:space="preserve">Abdomen › Learn › FAST: where free blood goes — and what it misses › A normal FAST</t>
  </si>
  <si>
    <t xml:space="preserve">fast-2</t>
  </si>
  <si>
    <t xml:space="preserve">This is the same normal abdomen as ultrasound. Liver sits against kidney, spleen against kidney, the bladder is black because urine reflects no echoes, and the pericardium hugs the heart. No black stripe anywhere.</t>
  </si>
  <si>
    <t xml:space="preserve">vo:fast-3</t>
  </si>
  <si>
    <t xml:space="preserve">Abdomen › Learn › FAST: where free blood goes — and what it misses › Too early to see</t>
  </si>
  <si>
    <t xml:space="preserve">fast-3</t>
  </si>
  <si>
    <t xml:space="preserve">A liver laceration two minutes after the crash. Blood is already leaking, but a few tens of millilitres spread thinly and every window still looks negative. An early negative scan does not rule out injury: repeat it.</t>
  </si>
  <si>
    <t xml:space="preserve">vo:fast-4</t>
  </si>
  <si>
    <t xml:space="preserve">Abdomen › Learn › FAST: where free blood goes — and what it misses › Morison’s pouch lights up first</t>
  </si>
  <si>
    <t xml:space="preserve">fast-4</t>
  </si>
  <si>
    <t xml:space="preserve">A few minutes later a black stripe opens between liver and kidney. The hepatorenal space is the most dependent upper-abdominal space when supine, so the right upper quadrant is usually positive first.</t>
  </si>
  <si>
    <t xml:space="preserve">vo:fast-5</t>
  </si>
  <si>
    <t xml:space="preserve">Abdomen › Learn › FAST: where free blood goes — and what it misses › The same blood in 3D</t>
  </si>
  <si>
    <t xml:space="preserve">fast-5</t>
  </si>
  <si>
    <t xml:space="preserve">In the anatomy the pool sits exactly where the probe was looking: tucked behind the liver, in front of the right kidney.</t>
  </si>
  <si>
    <t xml:space="preserve">vo:fast-6</t>
  </si>
  <si>
    <t xml:space="preserve">Abdomen › Learn › FAST: where free blood goes — and what it misses › Spleen: look above it too</t>
  </si>
  <si>
    <t xml:space="preserve">fast-6</t>
  </si>
  <si>
    <t xml:space="preserve">A grade four splenic injury. On the left, blood collects around the spleen and under the diaphragm before it reaches the kidney, so the left window must include the space above the spleen.</t>
  </si>
  <si>
    <t xml:space="preserve">vo:fast-7</t>
  </si>
  <si>
    <t xml:space="preserve">Abdomen › Learn › FAST: where free blood goes — and what it misses › Minutes matter</t>
  </si>
  <si>
    <t xml:space="preserve">fast-7</t>
  </si>
  <si>
    <t xml:space="preserve">Untreated, the bleed keeps going. Watch the left stripe widen, the right upper quadrant and then the pelvis fill, and the haemorrhage class climb in the side panel. Blood pressure holds until a third or more of the blood volume is gone.</t>
  </si>
  <si>
    <t xml:space="preserve">vo:fast-8</t>
  </si>
  <si>
    <t xml:space="preserve">Abdomen › Learn › FAST: where free blood goes — and what it misses › The bleed FAST cannot see</t>
  </si>
  <si>
    <t xml:space="preserve">fast-8</t>
  </si>
  <si>
    <t xml:space="preserve">A different patient: an aneurysm has ruptured into the retroperitoneum, behind the lining of the abdomen. More than a litre is lost, yet not a drop is free in the peritoneal cavity.</t>
  </si>
  <si>
    <t xml:space="preserve">vo:fast-9</t>
  </si>
  <si>
    <t xml:space="preserve">Abdomen › Learn › FAST: where free blood goes — and what it misses › Negative FAST, unstable patient</t>
  </si>
  <si>
    <t xml:space="preserve">fast-9</t>
  </si>
  <si>
    <t xml:space="preserve">Every FAST window is negative. The clue is elsewhere: a wide aorta on the separate aortic view, back or flank pain, and shock with no free fluid. Pelvic fractures and kidney injuries bleed into the same hidden space.</t>
  </si>
  <si>
    <t xml:space="preserve">vo:fast-10</t>
  </si>
  <si>
    <t xml:space="preserve">Abdomen › Learn › FAST: where free blood goes — and what it misses › Reading a FAST</t>
  </si>
  <si>
    <t xml:space="preserve">fast-10</t>
  </si>
  <si>
    <t xml:space="preserve">Positive in a shocked trauma patient: the abdomen is a likely source. Negative: not proof of safety — it may be early, the fluid may be retroperitoneal, or the view may be poor. Repeat it when the patient changes.</t>
  </si>
  <si>
    <t xml:space="preserve">vo:aaa-1</t>
  </si>
  <si>
    <t xml:space="preserve">Abdomen › Learn › Abdominal aortic aneurysm: intact, contained, free rupture › A normal aorta</t>
  </si>
  <si>
    <t xml:space="preserve">aaa-1</t>
  </si>
  <si>
    <t xml:space="preserve">The abdominal aorta below the renal arteries is normally about two centimetres wide. An aneurysm is a permanent widening to three centimetres or more.</t>
  </si>
  <si>
    <t xml:space="preserve">vo:aaa-2</t>
  </si>
  <si>
    <t xml:space="preserve">Abdomen › Learn › Abdominal aortic aneurysm: intact, contained, free rupture › Growing</t>
  </si>
  <si>
    <t xml:space="preserve">aaa-2</t>
  </si>
  <si>
    <t xml:space="preserve">Aneurysms grow slowly, often silently. Wall tension rises with radius, so the wider it gets the faster it tends to grow and the higher the rupture risk; above about five and a half centimetres repair usually outweighs the risk of waiting.</t>
  </si>
  <si>
    <t xml:space="preserve">vo:aaa-3</t>
  </si>
  <si>
    <t xml:space="preserve">Abdomen › Learn › Abdominal aortic aneurysm: intact, contained, free rupture › On ultrasound</t>
  </si>
  <si>
    <t xml:space="preserve">aaa-3</t>
  </si>
  <si>
    <t xml:space="preserve">A transverse bedside scan measures it outer wall to outer wall. Much of the sac is lined with grey thrombus; the flowing lumen is the smaller black circle inside.</t>
  </si>
  <si>
    <t xml:space="preserve">vo:aaa-4</t>
  </si>
  <si>
    <t xml:space="preserve">Abdomen › Learn › Abdominal aortic aneurysm: intact, contained, free rupture › Contained rupture</t>
  </si>
  <si>
    <t xml:space="preserve">aaa-4</t>
  </si>
  <si>
    <t xml:space="preserve">Sudden back or flank pain and a faint. The sac has torn at the back, into the retroperitoneum, where the surrounding tissue can tamponade it for a while.</t>
  </si>
  <si>
    <t xml:space="preserve">vo:aaa-5</t>
  </si>
  <si>
    <t xml:space="preserve">Abdomen › Learn › Abdominal aortic aneurysm: intact, contained, free rupture › Deceptively stable</t>
  </si>
  <si>
    <t xml:space="preserve">aaa-5</t>
  </si>
  <si>
    <t xml:space="preserve">The haematoma grows behind the peritoneum. Heart rate climbs while pressure is still near normal. This window is the chance to get the patient to repair.</t>
  </si>
  <si>
    <t xml:space="preserve">vo:aaa-6</t>
  </si>
  <si>
    <t xml:space="preserve">Abdomen › Learn › Abdominal aortic aneurysm: intact, contained, free rupture › FAST stays negative</t>
  </si>
  <si>
    <t xml:space="preserve">aaa-6</t>
  </si>
  <si>
    <t xml:space="preserve">The FAST windows are black-stripe free, because none of this blood is intraperitoneal. The aortic view shows the wide sac with a dark cuff of haematoma beside it.</t>
  </si>
  <si>
    <t xml:space="preserve">vo:aaa-7</t>
  </si>
  <si>
    <t xml:space="preserve">Abdomen › Learn › Abdominal aortic aneurysm: intact, contained, free rupture › Free rupture</t>
  </si>
  <si>
    <t xml:space="preserve">aaa-7</t>
  </si>
  <si>
    <t xml:space="preserve">If the tear opens into the peritoneal cavity there is nothing left to contain it. Within minutes every FAST window fills and the patient moves to class four haemorrhage.</t>
  </si>
  <si>
    <t xml:space="preserve">vo:aaa-8</t>
  </si>
  <si>
    <t xml:space="preserve">Abdomen › Learn › Abdominal aortic aneurysm: intact, contained, free rupture › What changes outcome</t>
  </si>
  <si>
    <t xml:space="preserve">aaa-8</t>
  </si>
  <si>
    <t xml:space="preserve">Outcome depends on control of the aorta, in the operating theatre or the endovascular suite. Many teams accept a lower blood pressure while the patient stays conscious, to avoid pushing more blood out of the hole before it is controlled.</t>
  </si>
  <si>
    <t xml:space="preserve">vo:ad-1</t>
  </si>
  <si>
    <t xml:space="preserve">Abdomen › Learn › Aortic dissection: type, extent, malperfusion, anti-impulse › A tearing pain</t>
  </si>
  <si>
    <t xml:space="preserve">ad-1</t>
  </si>
  <si>
    <t xml:space="preserve">Sudden, severe, tearing pain between the shoulder blades. Hypertensive and tachycardic. A pressure difference between the arms, or a pulse deficit, raises the suspicion. The test is a CT angiogram from the chest to the groins.</t>
  </si>
  <si>
    <t xml:space="preserve">vo:ad-2</t>
  </si>
  <si>
    <t xml:space="preserve">Abdomen › Learn › Aortic dissection: type, extent, malperfusion, anti-impulse › Type A: the ascending aorta</t>
  </si>
  <si>
    <t xml:space="preserve">ad-2</t>
  </si>
  <si>
    <t xml:space="preserve">At the level of the pulmonary artery, look first at the ascending aorta in front. A flap here is Stanford type A: it can tear into the pericardium, the coronaries or the aortic valve. That is a surgical emergency.</t>
  </si>
  <si>
    <t xml:space="preserve">vo:ad-3</t>
  </si>
  <si>
    <t xml:space="preserve">Abdomen › Learn › Aortic dissection: type, extent, malperfusion, anti-impulse › Type B: descending only</t>
  </si>
  <si>
    <t xml:space="preserve">ad-3</t>
  </si>
  <si>
    <t xml:space="preserve">In this patient the ascending aorta is clean and round. The flap is only in the descending aorta, beside the spine: Stanford type B. Most are managed medically unless they are complicated.</t>
  </si>
  <si>
    <t xml:space="preserve">vo:ad-4</t>
  </si>
  <si>
    <t xml:space="preserve">Abdomen › Learn › Aortic dissection: type, extent, malperfusion, anti-impulse › True and false lumen</t>
  </si>
  <si>
    <t xml:space="preserve">ad-4</t>
  </si>
  <si>
    <t xml:space="preserve">Follow it down. The flap divides the aorta into two channels. The true lumen is usually the smaller, denser one; the false lumen is larger and fills more slowly. Which lumen feeds each branch matters.</t>
  </si>
  <si>
    <t xml:space="preserve">vo:ad-5</t>
  </si>
  <si>
    <t xml:space="preserve">Abdomen › Learn › Aortic dissection: type, extent, malperfusion, anti-impulse › Malperfusion</t>
  </si>
  <si>
    <t xml:space="preserve">ad-5</t>
  </si>
  <si>
    <t xml:space="preserve">Compare the kidneys. The left one barely enhances: its artery arises from a false lumen that is not delivering blood. Malperfusion of a kidney, the bowel or a leg turns an uncomplicated type B into a complicated one.</t>
  </si>
  <si>
    <t xml:space="preserve">vo:ad-6</t>
  </si>
  <si>
    <t xml:space="preserve">Abdomen › Learn › Aortic dissection: type, extent, malperfusion, anti-impulse › Into the iliacs</t>
  </si>
  <si>
    <t xml:space="preserve">ad-6</t>
  </si>
  <si>
    <t xml:space="preserve">The flap continues into the left common iliac artery. Check the leg pulses and the groin: a cold, pulseless leg is another malperfusion sign.</t>
  </si>
  <si>
    <t xml:space="preserve">vo:ad-7</t>
  </si>
  <si>
    <t xml:space="preserve">Abdomen › Learn › Aortic dissection: type, extent, malperfusion, anti-impulse › Rate first</t>
  </si>
  <si>
    <t xml:space="preserve">ad-7</t>
  </si>
  <si>
    <t xml:space="preserve">Treatment starts with impulse control. A short-acting beta-blocker brings the heart rate to about sixty, reducing the force of each ejection on the torn wall. Watch the rate fall while the pressure is still high.</t>
  </si>
  <si>
    <t xml:space="preserve">vo:ad-8</t>
  </si>
  <si>
    <t xml:space="preserve">Abdomen › Learn › Aortic dissection: type, extent, malperfusion, anti-impulse › Then the pressure</t>
  </si>
  <si>
    <t xml:space="preserve">ad-8</t>
  </si>
  <si>
    <t xml:space="preserve">Only then add a vasodilator to bring the systolic pressure below about one hundred and twenty, as far as perfusion allows: urine output, mental state and the malperfused organs set the floor.</t>
  </si>
  <si>
    <t xml:space="preserve">vo:ad-9</t>
  </si>
  <si>
    <t xml:space="preserve">Abdomen › Learn › Aortic dissection: type, extent, malperfusion, anti-impulse › Why not the vasodilator first</t>
  </si>
  <si>
    <t xml:space="preserve">ad-9</t>
  </si>
  <si>
    <t xml:space="preserve">Give the vasodilator alone and the baroreflex answers with tachycardia and a harder, faster ejection — more shear on the flap. Beta-blockade before vasodilation.</t>
  </si>
  <si>
    <t xml:space="preserve">vo:ad-10</t>
  </si>
  <si>
    <t xml:space="preserve">Abdomen › Learn › Aortic dissection: type, extent, malperfusion, anti-impulse › Who needs what</t>
  </si>
  <si>
    <t xml:space="preserve">ad-10</t>
  </si>
  <si>
    <t xml:space="preserve">Type A: control the pressure and get to cardiac surgery. Type B with rupture, malperfusion or uncontrollable pain: endovascular repair. Uncomplicated type B: impulse control, monitoring and repeat imaging.</t>
  </si>
  <si>
    <t xml:space="preserve">vo:so-1</t>
  </si>
  <si>
    <t xml:space="preserve">Abdomen › Learn › Spleen and liver injury: the response to blood decides › Low grade, stable</t>
  </si>
  <si>
    <t xml:space="preserve">so-1</t>
  </si>
  <si>
    <t xml:space="preserve">A grade two splenic laceration an hour after a fall. There is blood around the spleen and the FAST is positive, but the heart rate and pressure are normal and the bleeding has slowed. Stable patients like this usually get a CT and are managed without an operation, with close observation.</t>
  </si>
  <si>
    <t xml:space="preserve">vo:so-2</t>
  </si>
  <si>
    <t xml:space="preserve">Abdomen › Learn › Spleen and liver injury: the response to blood decides › High grade</t>
  </si>
  <si>
    <t xml:space="preserve">so-2</t>
  </si>
  <si>
    <t xml:space="preserve">A grade four injury bleeds faster. Thirty minutes in, three FAST windows are positive and she is in class two shock: the heart rate is up, the pressure still normal.</t>
  </si>
  <si>
    <t xml:space="preserve">vo:so-3</t>
  </si>
  <si>
    <t xml:space="preserve">Abdomen › Learn › Spleen and liver injury: the response to blood decides › Give blood, and watch</t>
  </si>
  <si>
    <t xml:space="preserve">so-3</t>
  </si>
  <si>
    <t xml:space="preserve">A litre of blood restores her circulating volume and the heart rate settles, for now. The blood already in the abdomen stays there. How she responds over the next half hour sorts patients into three groups.</t>
  </si>
  <si>
    <t xml:space="preserve">vo:so-4</t>
  </si>
  <si>
    <t xml:space="preserve">Abdomen › Learn › Spleen and liver injury: the response to blood decides › A transient responder</t>
  </si>
  <si>
    <t xml:space="preserve">so-4</t>
  </si>
  <si>
    <t xml:space="preserve">Forty five minutes later she has bled the transfused blood away and the class is climbing again. A transient responder is still bleeding: she needs haemorrhage control, by angioembolisation if it is immediately available and she is safe to go there, otherwise the operating room.</t>
  </si>
  <si>
    <t xml:space="preserve">vo:so-5</t>
  </si>
  <si>
    <t xml:space="preserve">Abdomen › Learn › Spleen and liver injury: the response to blood decides › A non-responder</t>
  </si>
  <si>
    <t xml:space="preserve">so-5</t>
  </si>
  <si>
    <t xml:space="preserve">A grade five liver injury. An hour and a half in, a litre of blood has made no difference: she is in class three shock. No response means an operation now, with damage control surgery, packing and a massive transfusion protocol.</t>
  </si>
  <si>
    <t xml:space="preserve">vo:so-6</t>
  </si>
  <si>
    <t xml:space="preserve">Abdomen › Learn › Spleen and liver injury: the response to blood decides › Control stops the clock</t>
  </si>
  <si>
    <t xml:space="preserve">so-6</t>
  </si>
  <si>
    <t xml:space="preserve">Once the bleeding is controlled, the loss stops growing. The fluid in the abdomen is still there on ultrasound, but transfusion can finally catch up, and the haemorrhage class falls.</t>
  </si>
  <si>
    <t xml:space="preserve">vo:me-1</t>
  </si>
  <si>
    <t xml:space="preserve">Abdomen › Learn › Acute mesenteric ischaemia: pain out of proportion › Pain out of proportion</t>
  </si>
  <si>
    <t xml:space="preserve">me-1</t>
  </si>
  <si>
    <t xml:space="preserve">A seventy eight year old with atrial fibrillation and sudden, severe central abdominal pain. The abdomen is soft and hardly tender. Pain out of proportion to the examination is the classic early sign, and the bowel still looks normal.</t>
  </si>
  <si>
    <t xml:space="preserve">vo:me-2</t>
  </si>
  <si>
    <t xml:space="preserve">Abdomen › Learn › Acute mesenteric ischaemia: pain out of proportion › An embolus in the artery</t>
  </si>
  <si>
    <t xml:space="preserve">me-2</t>
  </si>
  <si>
    <t xml:space="preserve">A clot from the fibrillating left atrium has lodged in the superior mesenteric artery, which supplies most of the small bowel. On the CT angiogram the artery, just in front of the aorta, does not fill with contrast.</t>
  </si>
  <si>
    <t xml:space="preserve">vo:me-3</t>
  </si>
  <si>
    <t xml:space="preserve">Abdomen › Learn › Acute mesenteric ischaemia: pain out of proportion › The wall stops enhancing</t>
  </si>
  <si>
    <t xml:space="preserve">me-3</t>
  </si>
  <si>
    <t xml:space="preserve">Hours later the small bowel wall stops enhancing. Early in the course the lactate can still be normal, so a normal lactate does not rule this out.</t>
  </si>
  <si>
    <t xml:space="preserve">vo:me-4</t>
  </si>
  <si>
    <t xml:space="preserve">Abdomen › Learn › Acute mesenteric ischaemia: pain out of proportion › Infarction</t>
  </si>
  <si>
    <t xml:space="preserve">me-4</t>
  </si>
  <si>
    <t xml:space="preserve">Once the bowel infarcts it turns dusky, gas appears in its wall, the lining sloughs, and bacteria and toxins reach the blood. Peritonitis, acidosis and shock follow, and the abdomen finally becomes tender.</t>
  </si>
  <si>
    <t xml:space="preserve">vo:me-5</t>
  </si>
  <si>
    <t xml:space="preserve">Abdomen › Learn › Acute mesenteric ischaemia: pain out of proportion › The CT at infarction</t>
  </si>
  <si>
    <t xml:space="preserve">me-5</t>
  </si>
  <si>
    <t xml:space="preserve">On CT, gas now lies in the bowel wall. The treatment is time: urgent revascularisation, by embolectomy or an endovascular route, resection of dead bowel, fluids, antibiotics and anticoagulation. Every hour of delay costs bowel.</t>
  </si>
  <si>
    <t xml:space="preserve">vo:sb-1</t>
  </si>
  <si>
    <t xml:space="preserve">Abdomen › Learn › Bowel obstruction and perforation › Small-bowel obstruction</t>
  </si>
  <si>
    <t xml:space="preserve">sb-1</t>
  </si>
  <si>
    <t xml:space="preserve">Small bowel obstruction, most often from adhesions after previous surgery, or a hernia. Above the block the bowel dilates with fluid and gas, she vomits, and the abdomen distends.</t>
  </si>
  <si>
    <t xml:space="preserve">vo:sb-2</t>
  </si>
  <si>
    <t xml:space="preserve">Abdomen › Learn › Bowel obstruction and perforation › On CT</t>
  </si>
  <si>
    <t xml:space="preserve">sb-2</t>
  </si>
  <si>
    <t xml:space="preserve">On CT the loops are wide and full of fluid, with gas floating on top: air fluid levels. Surgeons look for the transition point, where dilated bowel meets collapsed bowel, and for signs that the blood supply is failing.</t>
  </si>
  <si>
    <t xml:space="preserve">vo:sb-3</t>
  </si>
  <si>
    <t xml:space="preserve">Abdomen › Learn › Bowel obstruction and perforation › Where the fluid goes</t>
  </si>
  <si>
    <t xml:space="preserve">sb-3</t>
  </si>
  <si>
    <t xml:space="preserve">Litres of fluid are trapped in the bowel wall and lumen, or lost as vomit. She becomes dry, with a rising heart rate and falling urine output. Decompress with a nasogastric tube, replace the fluid, and watch for strangulation.</t>
  </si>
  <si>
    <t xml:space="preserve">vo:sb-4</t>
  </si>
  <si>
    <t xml:space="preserve">Abdomen › Learn › Bowel obstruction and perforation › Perforation</t>
  </si>
  <si>
    <t xml:space="preserve">sb-4</t>
  </si>
  <si>
    <t xml:space="preserve">Perforation: a hole in the gut lets air and bowel content into the peritoneum. Lying flat, the air rises to the front of the abdomen; sitting up, it collects under the diaphragm.</t>
  </si>
  <si>
    <t xml:space="preserve">vo:sb-5</t>
  </si>
  <si>
    <t xml:space="preserve">Abdomen › Learn › Bowel obstruction and perforation › Free air on ultrasound</t>
  </si>
  <si>
    <t xml:space="preserve">sb-5</t>
  </si>
  <si>
    <t xml:space="preserve">On ultrasound, free air makes a bright line with reverberations that hides what lies behind it, over the liver in the upper abdomen. The fluid in these windows is not blood but gut content, so a positive scan here means peritonitis, not haemorrhage.</t>
  </si>
  <si>
    <t xml:space="preserve">vo:sb-6</t>
  </si>
  <si>
    <t xml:space="preserve">Abdomen › Learn › Bowel obstruction and perforation › Free air on CT</t>
  </si>
  <si>
    <t xml:space="preserve">sb-6</t>
  </si>
  <si>
    <t xml:space="preserve">On CT the air sits in front of the liver and bowel, outside the gut. Perforation with peritonitis needs resuscitation, antibiotics and an operation.</t>
  </si>
  <si>
    <t xml:space="preserve">case-abd-fast-early#1</t>
  </si>
  <si>
    <t xml:space="preserve">Abdomen › Challenge › Negative FAST, left-sided impact (Novice)</t>
  </si>
  <si>
    <t xml:space="preserve">The first scan: what does it tell you?</t>
  </si>
  <si>
    <t xml:space="preserve">Story: Motorcyclist, left lower rib fractures, minutes after the crash. You scan all four windows in the aircraft. Then you scan again ten minutes later. Answer: Not enough blood yet to see — a negative FAST does not exclude injury; repeat it. Other options: No intra-abdominal injury — the abdomen is cleared | The bleeding must be retroperitoneal | The probe must be in the wrong place. Explanation: FAST needs on the order of a few hundred mL of intraperitoneal fluid before a window turns positive. Early after injury it is often negative; its value is in repeating it as the picture evolves.</t>
  </si>
  <si>
    <t xml:space="preserve">case-abd-fast-early#2</t>
  </si>
  <si>
    <t xml:space="preserve">Ten minutes later, where does blood from the spleen appear first?</t>
  </si>
  <si>
    <t xml:space="preserve">Answer: LUQ — splenorenal space and above the spleen. Other options: RUQ — Morison’s pouch | Subxiphoid — pericardium | Nowhere until it reaches the pelvis. Explanation: Morison’s pouch is the most sensitive window overall, but splenic blood collects around the spleen and in the splenorenal space first, then spills down the left gutter to the pelvis before it reaches the right upper quadrant.</t>
  </si>
  <si>
    <t xml:space="preserve">case-abd-fast-spleen#1</t>
  </si>
  <si>
    <t xml:space="preserve">Abdomen › Challenge › Positive FAST, rising heart rate (Intermediate)</t>
  </si>
  <si>
    <t xml:space="preserve">Which windows show free fluid?</t>
  </si>
  <si>
    <t xml:space="preserve">Story: Same patient, now 30 minutes after the crash and still in the aircraft. Scan all four windows. Answer: RUQ, LUQ and pelvis. Other options: LUQ only | Pericardium only | None — it is retroperitoneal. Explanation: With several hundred mL the fluid has filled the left upper quadrant, run down the left paracolic gutter into the pelvis and reached Morison’s pouch.</t>
  </si>
  <si>
    <t xml:space="preserve">case-abd-fast-spleen#2</t>
  </si>
  <si>
    <t xml:space="preserve">Estimated haemorrhage class?</t>
  </si>
  <si>
    <t xml:space="preserve">Answer: Class II — tachycardic, pressure still held. Other options: Class I | Class III | Class IV. Explanation: Blood loss of roughly 15–30 %: the heart rate climbs and the pulse pressure narrows, but systolic pressure is still maintained. Waiting for hypotension means waiting for class III.</t>
  </si>
  <si>
    <t xml:space="preserve">case-abd-aaa#1</t>
  </si>
  <si>
    <t xml:space="preserve">Abdomen › Challenge › Back pain, pulsatile mass, negative FAST (Advanced)</t>
  </si>
  <si>
    <t xml:space="preserve">What does the CT show at the infrarenal level?</t>
  </si>
  <si>
    <t xml:space="preserve">Story: 74-year-old, sudden back and left flank pain, near-syncope at home. The FAST is negative. The receiving centre sends the CT angiogram through before you land. Answer: A 7 cm aneurysm with a retroperitoneal haematoma — contained rupture. Other options: An intact aneurysm, no bleeding | Free intraperitoneal rupture | A dissection flap. Explanation: A large aneurysm with eccentric thrombus and blood beside it in the retroperitoneum: a contained rupture. It can become free rupture at any moment.</t>
  </si>
  <si>
    <t xml:space="preserve">case-abd-aaa#2</t>
  </si>
  <si>
    <t xml:space="preserve">Why was the FAST negative?</t>
  </si>
  <si>
    <t xml:space="preserve">Answer: FAST sees intraperitoneal fluid; this blood is retroperitoneal. Other options: The haematoma is too small to matter | The scan was done too early — repeat it to rule out rupture | Aneurysms cannot be seen on ultrasound. Explanation: The retroperitoneum is invisible to FAST. A negative FAST in a patient with a known or suspected AAA and pain does not rule out rupture.</t>
  </si>
  <si>
    <t xml:space="preserve">case-abd-aaa#3</t>
  </si>
  <si>
    <t xml:space="preserve">Pressure strategy en route?</t>
  </si>
  <si>
    <t xml:space="preserve">Answer: Permissive hypotension: enough pressure for mentation, no push to normal, straight to a vascular centre. Other options: Fluid bolus to a normal blood pressure | Start a vasodilator to protect the aneurysm | Divert to the nearest hospital for a formal CT first. Explanation: Raising the pressure can turn a contained rupture into a free one. Accept a low pressure while the patient is awake, give blood rather than crystalloid when needed, and get to definitive repair.</t>
  </si>
  <si>
    <t xml:space="preserve">case-abd-dissect-a#1</t>
  </si>
  <si>
    <t xml:space="preserve">Abdomen › Challenge › Tearing chest pain to the back (Advanced)</t>
  </si>
  <si>
    <t xml:space="preserve">What type is this, and what does it need?</t>
  </si>
  <si>
    <t xml:space="preserve">Story: 58-year-old with sudden tearing chest pain radiating to the back. The CTA is on your screen at the chest level. Answer: Stanford type A — the ascending aorta is involved: emergency surgery. Other options: Stanford type B — medical therapy first | No dissection — the aorta is normal | Type B — immediate endovascular stent. Explanation: Any involvement of the ascending aorta makes it type A: at risk of tamponade, aortic regurgitation and coronary occlusion. It goes to cardiothoracic surgery.</t>
  </si>
  <si>
    <t xml:space="preserve">case-abd-dissect-a#2</t>
  </si>
  <si>
    <t xml:space="preserve">While you transport, how do you treat the pressure?</t>
  </si>
  <si>
    <t xml:space="preserve">Answer: Rate first (β-blocker toward ≈ 60), then a vasodilator for systolic ≈ 100–120. Other options: Vasodilator first, then a β-blocker | Leave it — the pressure is protective | Fluids to maintain perfusion of the false lumen. Explanation: Anti-impulse therapy lowers the force of each ejection (dP/dt) as well as the pressure. A vasodilator alone causes a reflex tachycardia that increases shear on the flap.</t>
  </si>
  <si>
    <t xml:space="preserve">case-abd-dissect-b#1</t>
  </si>
  <si>
    <t xml:space="preserve">Abdomen › Challenge › Type B dissection with a rising creatinine (Expert)</t>
  </si>
  <si>
    <t xml:space="preserve">What is the new finding at the renal level?</t>
  </si>
  <si>
    <t xml:space="preserve">Story: Known type B dissection on esmolol and nicardipine. Pain persists, urine output is falling. Step to the renal level of the CTA. Answer: The left kidney enhances poorly — its artery arises from the false lumen. Other options: Both kidneys are normal | A retroperitoneal haematoma | The flap has extended into the ascending aorta. Explanation: The branch fed by a poorly flowing false lumen is under-perfused: renal malperfusion.</t>
  </si>
  <si>
    <t xml:space="preserve">case-abd-dissect-b#2</t>
  </si>
  <si>
    <t xml:space="preserve">What does malperfusion change?</t>
  </si>
  <si>
    <t xml:space="preserve">Answer: It is now a complicated type B: urgent endovascular repair, not medical therapy alone. Other options: Nothing — continue anti-impulse therapy | It becomes a type A dissection | Stop the β-blocker to raise renal perfusion. Explanation: Malperfusion, rupture, refractory pain or uncontrolled hypertension turn an uncomplicated type B into a complicated one, which is treated by covering the entry tear.</t>
  </si>
  <si>
    <t xml:space="preserve">case-abd-transient#1</t>
  </si>
  <si>
    <t xml:space="preserve">Abdomen › Challenge › Better after blood — then worse (Advanced)</t>
  </si>
  <si>
    <t xml:space="preserve">How has she responded to blood?</t>
  </si>
  <si>
    <t xml:space="preserve">Story: Grade IV splenic injury. After one litre of blood half an hour ago her heart rate had settled. It is climbing again and the FAST stripes are wider. Answer: Transient responder: she improved, then bled the blood away — still bleeding. Other options: Responder: stable, observe | Non-responder: no change at all | Over-transfused. Explanation: A transient response means ongoing haemorrhage at a rate the transfusion only briefly matched.</t>
  </si>
  <si>
    <t xml:space="preserve">case-abd-transient#2</t>
  </si>
  <si>
    <t xml:space="preserve">What does she need?</t>
  </si>
  <si>
    <t xml:space="preserve">Answer: Haemorrhage control: embolisation if immediately available and safe, otherwise the operating room. Other options: Another litre of crystalloid and a repeat FAST in an hour | Observation on the ward | A CT of the head first. Explanation: Blood buys time; only stopping the bleeding fixes it. Unstable patients go to the operating room rather than the CT or angiography suite.</t>
  </si>
  <si>
    <t xml:space="preserve">case-abd-mesenteric#1</t>
  </si>
  <si>
    <t xml:space="preserve">Abdomen › Challenge › Severe pain, soft abdomen (Advanced)</t>
  </si>
  <si>
    <t xml:space="preserve">What does the CT show?</t>
  </si>
  <si>
    <t xml:space="preserve">Story: 78-year-old in atrial fibrillation, off anticoagulation, with an hour of severe central abdominal pain. The abdomen is soft. Lactate 1.4. The CT angiogram is on the screen at the renal level. Answer: The superior mesenteric artery does not fill: embolic occlusion. Other options: A normal CT — the pain is functional | An aortic dissection | Free air. Explanation: The SMA should be a bright dot in front of the aorta. An embolus from the left atrium has blocked it.</t>
  </si>
  <si>
    <t xml:space="preserve">case-abd-mesenteric#2</t>
  </si>
  <si>
    <t xml:space="preserve">The lactate is normal. Is that reassuring?</t>
  </si>
  <si>
    <t xml:space="preserve">Answer: No — lactate often stays normal until the bowel is infarcting. Other options: Yes — ischaemia always raises lactate early | Yes — it excludes infarction | Only if the pain improves. Explanation: Early ischaemia may not raise the systemic lactate. Pain out of proportion plus an embolic source needs urgent CT angiography and revascularisation.</t>
  </si>
  <si>
    <t xml:space="preserve">case-neuro-m1l#1</t>
  </si>
  <si>
    <t xml:space="preserve">Brain › Challenge › Sudden weakness and no words (Novice)</t>
  </si>
  <si>
    <t xml:space="preserve">Where is the occlusion?</t>
  </si>
  <si>
    <t xml:space="preserve">Story: Right-handed 67-year-old found by his wife an hour after last known well. Examine, then decide. Answer: Left middle cerebral artery (M1). Other options: Right middle cerebral artery | Basilar artery | Left posterior cerebral artery. Explanation: Right face, arm and leg weakness with global aphasia, gaze toward the left and a right field defect: the whole left MCA territory in a left-dominant patient — a proximal (M1) occlusion.</t>
  </si>
  <si>
    <t xml:space="preserve">case-neuro-m1l#2</t>
  </si>
  <si>
    <t xml:space="preserve">Next step?</t>
  </si>
  <si>
    <t xml:space="preserve">Answer: CT with CT angiography (± perfusion) to confirm a large-vessel occlusion for thrombectomy. Other options: MRI before any decision | Wait for the deficit to settle — it may be a TIA | Lumbar puncture. Explanation: A severe cortical deficit predicts a large-vessel occlusion. Non-contrast CT excludes haemorrhage; CTA shows the clot; perfusion shows how much is still salvageable. Go to a thrombectomy-capable centre.</t>
  </si>
  <si>
    <t xml:space="preserve">case-neuro-m1r#1</t>
  </si>
  <si>
    <t xml:space="preserve">Brain › Challenge › Left weakness, talking normally (Intermediate)</t>
  </si>
  <si>
    <t xml:space="preserve">Story: Right-handed 71-year-old, sudden left-sided weakness. She says she feels fine. Answer: Right middle cerebral artery (M1). Other options: Left middle cerebral artery | Right posterior cerebral artery | Basilar artery. Explanation: Left hemiparesis with gaze to the right, a left field defect and neglect of the left side: the right MCA territory.</t>
  </si>
  <si>
    <t xml:space="preserve">case-neuro-m1r#2</t>
  </si>
  <si>
    <t xml:space="preserve">Why is there no aphasia?</t>
  </si>
  <si>
    <t xml:space="preserve">Answer: Language lives in the left (dominant) hemisphere; the right hemisphere gives neglect instead. Other options: The occlusion is too small | Aphasia appears only after 24 h | Aphasia is a brainstem sign. Explanation: In most right-handed people language is left-hemispheric. A non-dominant stroke can be as large but shows neglect and anosognosia — “she feels fine” is part of the deficit.</t>
  </si>
  <si>
    <t xml:space="preserve">case-neuro-p2r#1</t>
  </si>
  <si>
    <t xml:space="preserve">Brain › Challenge › Bumping into doorframes (Intermediate)</t>
  </si>
  <si>
    <t xml:space="preserve">Where is the lesion?</t>
  </si>
  <si>
    <t xml:space="preserve">Story: 63-year-old keeps walking into things on her left. Strength and speech are normal. Answer: Right posterior cerebral artery — occipital cortex. Other options: Left posterior cerebral artery | Right middle cerebral artery | Left eye. Explanation: A left homonymous hemianopia (both eyes, left half of the field) comes from the right occipital cortex, supplied by the right PCA.</t>
  </si>
  <si>
    <t xml:space="preserve">case-neuro-p2r#2</t>
  </si>
  <si>
    <t xml:space="preserve">The NIHSS is low. What does that mean?</t>
  </si>
  <si>
    <t xml:space="preserve">Answer: Posterior-circulation strokes score low; a low score does not mean a small or harmless stroke. Other options: It is too mild to image | It excludes a vascular cause | It means the stroke is in the brainstem. Explanation: The scale weights limb power and language. Visual, cerebellar and brainstem deficits are under-scored — judge the deficit, not the number.</t>
  </si>
  <si>
    <t xml:space="preserve">case-neuro-basilar#1</t>
  </si>
  <si>
    <t xml:space="preserve">Brain › Challenge › Dizzy, then unresponsive (Advanced)</t>
  </si>
  <si>
    <t xml:space="preserve">Which vessel?</t>
  </si>
  <si>
    <t xml:space="preserve">Story: 55-year-old, vertigo and slurred speech this morning, now barely rousable with weakness of all four limbs. Answer: Basilar artery. Other options: Left middle cerebral artery | Both anterior cerebral arteries | Right internal carotid. Explanation: Reduced consciousness, gaze palsy, four-limb weakness, dysarthria and ataxia: the brainstem and cerebellum, supplied by the basilar artery.</t>
  </si>
  <si>
    <t xml:space="preserve">case-neuro-basilar#2</t>
  </si>
  <si>
    <t xml:space="preserve">Priorities?</t>
  </si>
  <si>
    <t xml:space="preserve">Answer: Protect the airway, then emergent CTA and thrombectomy — the window is often wider for basilar occlusion. Other options: Supportive care only — prognosis is fixed | MRI first to confirm | Wait for a second opinion before imaging. Explanation: Untreated basilar occlusion is usually fatal or devastating. The airway is at risk from the depressed consciousness and bulbar weakness; reperfusion is offered later than for anterior strokes in many centres.</t>
  </si>
  <si>
    <t xml:space="preserve">case-neuro-uncal#1</t>
  </si>
  <si>
    <t xml:space="preserve">Brain › Challenge › A blown pupil after an ICH (Advanced)</t>
  </si>
  <si>
    <t xml:space="preserve">What is happening?</t>
  </si>
  <si>
    <t xml:space="preserve">Story: Left basal-ganglia haemorrhage, intubated for transfer. The haematoma has grown. Look at the pupils and the motor response. Answer: Left uncal herniation: the temporal lobe is compressing the left third nerve. Other options: Right uncal herniation | Tonsillar herniation | An eye drop was given. Explanation: The pupil on the side of the mass dilates and stops reacting first, as the uncus is pushed over the tentorial edge onto the third nerve.</t>
  </si>
  <si>
    <t xml:space="preserve">case-neuro-uncal#2</t>
  </si>
  <si>
    <t xml:space="preserve">Bridge to surgery?</t>
  </si>
  <si>
    <t xml:space="preserve">Answer: Head up 30°, hyperosmolar therapy, keep MAP up; brief hyperventilation only as a bridge. Other options: Prolonged hyperventilation to a PaCO₂ of 25 | Lower the blood pressure to a MAP of 60 | Lie the patient flat to improve cerebral blood flow. Explanation: Hypertonic saline or mannitol draws water out; head-up improves venous drainage. Hyperventilation lowers ICP by constricting vessels, which also cuts blood flow — minutes, not hours. CPP = MAP − ICP, so keep the MAP.</t>
  </si>
  <si>
    <t xml:space="preserve">case-neuro-cushing#1</t>
  </si>
  <si>
    <t xml:space="preserve">Brain › Challenge › Hypertension and bradycardia (Expert)</t>
  </si>
  <si>
    <t xml:space="preserve">What is this pattern?</t>
  </si>
  <si>
    <t xml:space="preserve">Story: Same patient, twenty minutes later. The pressure is climbing, the heart is slowing, and a colleague reaches for a vasodilator. Answer: The Cushing response — brainstem ischaemia from very high ICP. Other options: Autonomic dysreflexia | Pain — needs more analgesia | Hypertensive emergency causing the bleed. Explanation: High pressure, falling heart rate and irregular breathing: the brainstem is raising the MAP to force blood into a brain whose pressure is near arterial. It is a late, pre-terminal sign.</t>
  </si>
  <si>
    <t xml:space="preserve">case-neuro-cushing#2</t>
  </si>
  <si>
    <t xml:space="preserve">Should you drop the blood pressure?</t>
  </si>
  <si>
    <t xml:space="preserve">Answer: No — the MAP is holding the CPP; treat the ICP (osmotherapy, surgery). Other options: Yes, to a systolic below 140 | Yes, with a vasodilator and a β-blocker | Yes, because bradycardia means the pressure is too high. Explanation: CPP = MAP − ICP. Lowering the MAP now drops cerebral perfusion further. The fix is to lower the ICP.</t>
  </si>
  <si>
    <t xml:space="preserve">case-neuro-evd#1</t>
  </si>
  <si>
    <t xml:space="preserve">Brain › Challenge › The EVD suddenly drains fast (Expert)</t>
  </si>
  <si>
    <t xml:space="preserve">Why is it over-draining?</t>
  </si>
  <si>
    <t xml:space="preserve">Story: Left basal-ganglia haemorrhage with an EVD open at 15 cmH₂O. The nurse raised the head of the bed for transfer; now the drain is running quickly and the patient has a headache. Answer: The chamber was not moved with the head: it is now level with the ventricles, so it drains until pressure is near zero. Other options: The ICP has risen suddenly | The catheter is blocked | The transducer needs zeroing to air. Explanation: The drip chamber height is measured from the tragus (foramen of Monro). Raising the head lifted the ventricles to the chamber, removing the pressure the drain was set to hold. Over-drainage risks ventricular collapse and bleeding.</t>
  </si>
  <si>
    <t xml:space="preserve">case-neuro-evd#2</t>
  </si>
  <si>
    <t xml:space="preserve">What do you do?</t>
  </si>
  <si>
    <t xml:space="preserve">Answer: Clamp briefly, re-level the zero to the tragus and reset the height, then reopen. Other options: Lower the chamber to drain even more | Leave it open — CSF drainage is always good | Flush the catheter. Explanation: Every position change needs the reference re-levelled. Many services clamp the drain for moves and re-level before reopening.</t>
  </si>
  <si>
    <t xml:space="preserve">case-heart-vsd#1</t>
  </si>
  <si>
    <t xml:space="preserve">Heart › Challenge › An infant who sweats with feeds (Intermediate)</t>
  </si>
  <si>
    <t xml:space="preserve">Which chambers carry the extra volume?</t>
  </si>
  <si>
    <t xml:space="preserve">Story: Three-month-old, poor weight gain, breathless and sweaty with feeds. Watch the flow across the septum. Answer: Left atrium and left ventricle. Other options: Right atrium and right ventricle | Only the right ventricle | None — flow is balanced. Explanation: Blood crosses the VSD in systole straight into the pulmonary artery, goes round the lungs and returns to the LEFT atrium and ventricle, which dilate.</t>
  </si>
  <si>
    <t xml:space="preserve">case-heart-vsd#2</t>
  </si>
  <si>
    <t xml:space="preserve">Roughly what is Qp:Qs?</t>
  </si>
  <si>
    <t xml:space="preserve">Answer: ≈ 2 : 1. Other options: 1 : 1 | ≈ 0.8 : 1 | ≈ 5 : 1. Explanation: The lungs receive about twice the systemic flow — pulmonary overcirculation, which is why the infant is breathless and fails to thrive.</t>
  </si>
  <si>
    <t xml:space="preserve">case-heart-asd#1</t>
  </si>
  <si>
    <t xml:space="preserve">Heart › Challenge › A big right heart (Intermediate)</t>
  </si>
  <si>
    <t xml:space="preserve">Which chambers are volume-loaded?</t>
  </si>
  <si>
    <t xml:space="preserve">Story: 34-year-old with exertional breathlessness; the echo shows a dilated right heart. Watch the atrial septum. Answer: Right atrium and right ventricle. Other options: Left atrium and left ventricle | Left ventricle only | None. Explanation: At atrial level the left atrium empties partly into the right, so the extra flow passes through the right atrium and right ventricle before the lungs.</t>
  </si>
  <si>
    <t xml:space="preserve">case-heart-asd#2</t>
  </si>
  <si>
    <t xml:space="preserve">Why is there little murmur from the defect itself?</t>
  </si>
  <si>
    <t xml:space="preserve">Answer: The pressure difference between the atria is tiny, so the flow is low-velocity. Other options: The defect is closed in systole | The flow is right to left | Murmurs only come from valves. Explanation: Atrial pressures differ by only a few mmHg. The murmur heard is from the extra flow across the pulmonary valve, with fixed splitting of the second sound.</t>
  </si>
  <si>
    <t xml:space="preserve">case-heart-eisenmenger#1</t>
  </si>
  <si>
    <t xml:space="preserve">Heart › Challenge › Blue at thirty (Advanced)</t>
  </si>
  <si>
    <t xml:space="preserve">Why is she cyanosed?</t>
  </si>
  <si>
    <t xml:space="preserve">Story: Adult with an unrepaired VSD, now cyanosed and breathless. The old murmur has gone. Answer: Pulmonary resistance has risen above systemic, so the shunt has reversed right to left. Other options: Heart failure has made the left ventricle leak | The defect has closed | Pneumonia. Explanation: Years of overcirculation remodel the pulmonary arterioles. Once PVR exceeds SVR, deoxygenated blood crosses into the systemic side: Eisenmenger syndrome.</t>
  </si>
  <si>
    <t xml:space="preserve">case-heart-eisenmenger#2</t>
  </si>
  <si>
    <t xml:space="preserve">Will 100 % oxygen fix the saturation?</t>
  </si>
  <si>
    <t xml:space="preserve">Answer: Only a little — shunted blood never meets the alveoli. Other options: Yes, fully | Oxygen makes it worse | Yes, after 20 minutes. Explanation: Oxygen corrects low-V/Q units but not true shunt. A little rise can come from pulmonary vasodilation; avoid systemic vasodilators, which increase the right-to-left flow.</t>
  </si>
  <si>
    <t xml:space="preserve">case-heart-pfo#1</t>
  </si>
  <si>
    <t xml:space="preserve">Heart › Challenge › Stroke after lifting (Advanced)</t>
  </si>
  <si>
    <t xml:space="preserve">What happened?</t>
  </si>
  <si>
    <t xml:space="preserve">Story: 29-year-old diver with a sudden aphasia after heavy lifting. Recent long-haul flight. Watch the atrial septum during the strain. Answer: Paradoxical embolism: straining raised right-atrial pressure above left and a venous clot crossed the PFO. Other options: An atrial septal defect with left-to-right flow | Carotid dissection from lifting | Air embolism from the dive only. Explanation: A PFO is a flap valve normally held shut by the higher left-atrial pressure. Valsalva, coughing or a PE reverse the gradient and open a path from the venous to the arterial side.</t>
  </si>
  <si>
    <t xml:space="preserve">case-heart-pfo#2</t>
  </si>
  <si>
    <t xml:space="preserve">Why is the PFO silent at rest?</t>
  </si>
  <si>
    <t xml:space="preserve">Answer: Left-atrial pressure keeps the flap closed; there is no flow until right pressure rises. Other options: It is too small to hear | Flow is continuous but low-velocity | It only opens during sleep. Explanation: No gradient, no flow: that is why bubble studies are done with a Valsalva release.</t>
  </si>
  <si>
    <t xml:space="preserve">case-img-cxr-tension#1</t>
  </si>
  <si>
    <t xml:space="preserve">Ventilator › Challenge › High pressures after a central line (Novice)</t>
  </si>
  <si>
    <t xml:space="preserve">What does the film show?</t>
  </si>
  <si>
    <t xml:space="preserve">Story: Ventilated trauma patient, new subclavian line. Peak pressures alarm, saturation and blood pressure fall. A film happened to be taken for line position. Answer: Right tension pneumothorax — pleural edge, no markings beyond it, flat hemidiaphragm, mediastinum pushed left. Other options: Right lung collapse from a plugged bronchus | Bilateral pulmonary oedema | A normal film. Explanation: Air outside the lung with the mediastinum pushed away and the hemidiaphragm flattened: pleural pressure is high.</t>
  </si>
  <si>
    <t xml:space="preserve">case-img-cxr-tension#2</t>
  </si>
  <si>
    <t xml:space="preserve">Next time this happens, what comes first?</t>
  </si>
  <si>
    <t xml:space="preserve">Answer: Decompress on clinical grounds — do not wait for a film in an unstable patient. Other options: Always get a film first to confirm | Increase PEEP to re-expand the lung | Give a fluid bolus and reassess. Explanation: Tension pneumothorax is a clinical diagnosis. The film here is a teaching picture; in practice needle or finger thoracostomy comes before imaging when the patient is crashing.</t>
  </si>
  <si>
    <t xml:space="preserve">case-img-lus-plug#1</t>
  </si>
  <si>
    <t xml:space="preserve">Ventilator › Challenge › No sliding on the right — needle? (Intermediate)</t>
  </si>
  <si>
    <t xml:space="preserve">Is this a pneumothorax?</t>
  </si>
  <si>
    <t xml:space="preserve">Story: Desaturation after turning; breath sounds absent on the right. Your colleague sees no sliding on the right and reaches for a needle. Tap each zone and watch the pleural line and M-mode. Answer: No — there is a lung pulse: the pleura still touch; the lung is collapsed, not separated. Other options: Yes — absent sliding means pneumothorax | Yes — the M-mode is a barcode | Cannot tell without an X-ray. Explanation: Absent sliding alone is not diagnostic. A lung pulse (pleural line twitching with the heartbeat) proves the visceral pleura is against the chest wall — here the right lung is airless from a plugged bronchus.</t>
  </si>
  <si>
    <t xml:space="preserve">case-img-lus-plug#2</t>
  </si>
  <si>
    <t xml:space="preserve">What fixes it?</t>
  </si>
  <si>
    <t xml:space="preserve">Answer: Clear the airway — suction, bronchoscopy, recruit — not a needle. Other options: Needle decompression | Chest drain | More PEEP only. Explanation: Needling a chest without a pneumothorax creates one. The problem is in the bronchus.</t>
  </si>
  <si>
    <t xml:space="preserve">case-img-lus-asthma#1</t>
  </si>
  <si>
    <t xml:space="preserve">Ventilator › Challenge › Asthmatic, high pressure, falling BP (Advanced)</t>
  </si>
  <si>
    <t xml:space="preserve">What does the scan show?</t>
  </si>
  <si>
    <t xml:space="preserve">Story: Intubated asthmatic. Peak pressures are high and the blood pressure is falling. Is it a pneumothorax? Scan all four zones. Answer: Sliding with A-lines in all four zones — pneumothorax very unlikely at these sites. Other options: Absent sliding on the right — pneumothorax | B-lines everywhere — oedema | A lung point on the left. Explanation: Sliding at the anterior chest excludes a pneumothorax under the probe with high certainty. The lungs are hyperinflated, not separated from the chest wall.</t>
  </si>
  <si>
    <t xml:space="preserve">case-img-lus-asthma#2</t>
  </si>
  <si>
    <t xml:space="preserve">What is the likely cause and first move?</t>
  </si>
  <si>
    <t xml:space="preserve">Answer: Dynamic hyperinflation (auto-PEEP): disconnect briefly to let the air out, then slow the rate. Other options: Needle both sides | Increase the rate to clear CO₂ | Fluid bolus and more PEEP. Explanation: Trapped gas raises intrathoracic pressure and cuts venous return. A short disconnection lets it escape; then lengthen expiratory time.</t>
  </si>
  <si>
    <t xml:space="preserve">case-img-cxr-edema#1</t>
  </si>
  <si>
    <t xml:space="preserve">Ventilator › Challenge › Frothy secretions (Intermediate)</t>
  </si>
  <si>
    <t xml:space="preserve">What pattern is this?</t>
  </si>
  <si>
    <t xml:space="preserve">Story: 66-year-old intubated with pink frothy secretions after a large anterior MI. Answer: Cardiogenic oedema — perihilar opacity, septal lines, big heart, effusions. Other options: ARDS — peripheral patchy opacities with a normal heart | Tension pneumothorax | Hyperinflation. Explanation: A large heart, a central “bat-wing” distribution, septal (Kerley) lines and effusions point to raised left-atrial pressure.</t>
  </si>
  <si>
    <t xml:space="preserve">case-img-cxr-edema#2</t>
  </si>
  <si>
    <t xml:space="preserve">What would lung ultrasound show?</t>
  </si>
  <si>
    <t xml:space="preserve">Answer: Many B-lines in both lungs, confluent in places, with effusions. Other options: A-lines everywhere | Absent sliding | A lung point. Explanation: Interstitial water turns the lung surface into vertical B-lines. They fall as the oedema clears — a quick bedside trend.</t>
  </si>
  <si>
    <t xml:space="preserve">case-img-cxr-ards#1</t>
  </si>
  <si>
    <t xml:space="preserve">Ventilator › Challenge › Pneumonia, worsening hypoxaemia (Advanced)</t>
  </si>
  <si>
    <t xml:space="preserve">Story: 36-year-old with pneumonia, now P/F well below 150 on high FiO₂. Answer: Bilateral patchy opacities with air bronchograms and a normal heart — ARDS pattern. Other options: Cardiogenic oedema | Right lung collapse | Normal film. Explanation: Bilateral opacities not explained by effusion, collapse or heart failure, with a normal heart size, fit ARDS.</t>
  </si>
  <si>
    <t xml:space="preserve">case-img-cxr-ards#2</t>
  </si>
  <si>
    <t xml:space="preserve">Ventilation strategy?</t>
  </si>
  <si>
    <t xml:space="preserve">Answer: Tidal volume ≈ 6 mL/kg predicted body weight, plateau ≤ 30, PEEP to keep the lung open. Other options: 10 mL/kg to recruit the lung | Zero PEEP to protect the heart | High rate, low PEEP. Explanation: Lung-protective ventilation limits stretch of the small “baby lung” that remains aerated.</t>
  </si>
  <si>
    <t xml:space="preserve">case-img-mainstem#1</t>
  </si>
  <si>
    <t xml:space="preserve">Ventilator › Challenge › Desaturation after the move (Intermediate)</t>
  </si>
  <si>
    <t xml:space="preserve">Story: Intubated at the scene. After moving to the aircraft stretcher the saturation falls and the peak pressure has risen. Breath sounds are quieter on the left. A film was taken on arrival. Answer: The tube tip is below the carina in the right main bronchus, and the left lung is collapsing. Other options: A left tension pneumothorax | A left pleural effusion | The tube is in the oesophagus. Explanation: The right main bronchus is wider and more vertical, so a tube pushed too far goes right. The left lung gets no ventilation and collapses as its gas is absorbed.</t>
  </si>
  <si>
    <t xml:space="preserve">case-img-mainstem#2</t>
  </si>
  <si>
    <t xml:space="preserve">Answer: Deflate the cuff, withdraw the tube 1–2 cm, re-check depth and breath sounds, then recruit. Other options: Needle decompress the left chest | Increase the PEEP and FiO₂ only | Exchange the tube for a larger one. Explanation: Pulling the tip back above the carina re-opens the left main bronchus; the collapsed lung then needs a few breaths or a recruitment manoeuvre. Note the depth at the teeth.</t>
  </si>
  <si>
    <t xml:space="preserve">case-abg-apnoea-infant#1</t>
  </si>
  <si>
    <t xml:space="preserve">Blood gas › Challenge › The laryngoscopy that takes too long (Intermediate)</t>
  </si>
  <si>
    <t xml:space="preserve">How long before the saturation falls below 90 %?</t>
  </si>
  <si>
    <t xml:space="preserve">Story: Three-month-old (6 kg), well pre-oxygenated and paralysed for intubation. Your colleague is still looking at the cords 75 seconds after the last breath. The saturation still reads high. Answer: Well under a minute — call time now and ventilate. Other options: About five more minutes | About eight minutes, as in an adult | It will stay up while it reads this high. Explanation: The reading is high because the top of the dissociation curve is flat, but the infant’s small oxygen store is nearly used up. Below 90 % the fall is fast.</t>
  </si>
  <si>
    <t xml:space="preserve">case-abg-apnoea-infant#2</t>
  </si>
  <si>
    <t xml:space="preserve">Why is the infant so much faster than an adult?</t>
  </si>
  <si>
    <t xml:space="preserve">Answer: Oxygen use per kilo is about twice as high, from a smaller lung volume that collapses after induction. Other options: Infants have less haemoglobin binding capacity at every age | Their pulse oximeters read late | They breathe faster, which uses up oxygen. Explanation: Oxygen consumption of ≈ 7–8 mL/kg/min drains a functional residual capacity that the soft infant chest lets fall to ≈ 15 mL/kg.</t>
  </si>
  <si>
    <t xml:space="preserve">case-vent-croup#1</t>
  </si>
  <si>
    <t xml:space="preserve">Ventilator › Challenge › Barking cough, stridor (Novice)</t>
  </si>
  <si>
    <t xml:space="preserve">By how much has the resistance to quiet breathing risen?</t>
  </si>
  <si>
    <t xml:space="preserve">Story: Two-year-old with a barking cough and stridor at rest, frightened and starting to cry. The subglottis has about a millimetre of swelling all round. Answer: About 16 times. Other options: About 2 times | About 4 times | It has not changed. Explanation: Laminar resistance rises with the fourth power of the radius: from 4 mm to 2 mm diameter halves the radius, 2⁴ = 16.</t>
  </si>
  <si>
    <t xml:space="preserve">case-vent-croup#2</t>
  </si>
  <si>
    <t xml:space="preserve">What should you avoid?</t>
  </si>
  <si>
    <t xml:space="preserve">Answer: Upsetting the child — crying makes flow turbulent and the work of breathing much higher. Other options: Letting the parent hold the child | Sitting the child up | Giving humidified oxygen by a mask the child tolerates. Explanation: Turbulent flow through the narrowed segment needs pressure that rises with the fifth power of the radius (× 32). Keep the child calm and upright, with a parent.</t>
  </si>
  <si>
    <t xml:space="preserve">case-lines-child-shock#1</t>
  </si>
  <si>
    <t xml:space="preserve">Lines › Challenge › A quiet, pale four-year-old (Intermediate)</t>
  </si>
  <si>
    <t xml:space="preserve">Is she in shock?</t>
  </si>
  <si>
    <t xml:space="preserve">Story: Four-year-old (16 kg) hit by a car 40 minutes ago. Quiet, pale and cool. The arterial line is in. Her blood pressure is reassuring, says a colleague. Answer: Yes — compensated shock: tachycardia, narrow pulse pressure, cool skin with a normal pressure. Other options: No — the systolic pressure is normal for her age | Only if the capillary refill exceeds 6 s | Not until she becomes hypotensive. Explanation: Children maintain their pressure with tachycardia and intense vasoconstriction until about a third of their blood volume is lost. Hypotension is late.</t>
  </si>
  <si>
    <t xml:space="preserve">case-lines-child-shock#2</t>
  </si>
  <si>
    <t xml:space="preserve">What if her heart rate starts to fall without treatment?</t>
  </si>
  <si>
    <t xml:space="preserve">Answer: Pre-arrest: the failing, hypoxic heart is slowing — act now. Other options: She is improving | Pain relief is working | Normal for sleep. Explanation: In a shocked child bradycardia is an ominous sign that the heart is running out of oxygen.</t>
  </si>
  <si>
    <t xml:space="preserve">case-heart-pphn#1</t>
  </si>
  <si>
    <t xml:space="preserve">Heart › Challenge › Pink hand, blue feet (Advanced)</t>
  </si>
  <si>
    <t xml:space="preserve">What does the difference between the probes tell you?</t>
  </si>
  <si>
    <t xml:space="preserve">Story: Term newborn, meconium at delivery, now four hours old and hard to oxygenate. Two probes: right hand and a foot. Answer: Right-to-left flow across the ductus: pulmonary pressure is at or above systemic — PPHN. Other options: A faulty foot probe | Normal newborn transition | Left-to-right flow through a PDA. Explanation: The ductus enters the aorta beyond the right subclavian artery. Deoxygenated blood crossing it reaches the legs, not the right hand.</t>
  </si>
  <si>
    <t xml:space="preserve">case-heart-pphn#2</t>
  </si>
  <si>
    <t xml:space="preserve">Which of these lowers pulmonary resistance?</t>
  </si>
  <si>
    <t xml:space="preserve">Answer: Oxygen, normal CO₂, warmth, correcting acidosis — and inhaled nitric oxide. Other options: Letting the CO₂ rise to protect the lungs | Keeping the baby cool | Restricting oxygen to avoid toxicity. Explanation: Hypoxia, hypercapnia, acidosis and cold all constrict the pulmonary vessels. Inhaled nitric oxide relaxes pulmonary vessels selectively.</t>
  </si>
  <si>
    <t xml:space="preserve">case-heart-pphn-atrial#1</t>
  </si>
  <si>
    <t xml:space="preserve">Heart › Challenge › Both probes low, no difference (Expert)</t>
  </si>
  <si>
    <t xml:space="preserve">Is the colleague right?</t>
  </si>
  <si>
    <t xml:space="preserve">Story: Same baby a few hours later. The right hand and the foot now read the same — and both are low. A colleague says the difference has gone, so the PPHN is better. Answer: No — blood is now also crossing the foramen ovale right-to-left, lowering both hand and foot. Other options: Yes — no difference means no pulmonary hypertension | Yes — the ductus has closed, so the problem is solved | The probes must both be faulty. Explanation: Shunting at atrial level mixes deoxygenated blood before the aorta, so pre- and post-ductal saturations fall together. A low pre-ductal saturation still needs an explanation.</t>
  </si>
  <si>
    <t xml:space="preserve">case-heart-pphn-atrial#2</t>
  </si>
  <si>
    <t xml:space="preserve">What raised the right atrial pressure?</t>
  </si>
  <si>
    <t xml:space="preserve">Answer: A struggling right ventricle pumping against high pulmonary resistance. Other options: Too much oxygen | Closure of the ductus arteriosus by itself | Low pulmonary resistance. Explanation: Against a high pulmonary resistance the right ventricle dilates and its filling pressure rises until right atrial pressure exceeds left and the flap opens.</t>
  </si>
  <si>
    <t xml:space="preserve">case-abg-apnoea-preg#1</t>
  </si>
  <si>
    <t xml:space="preserve">Blood gas › Challenge › Emergency intubation at 38 weeks (Advanced)</t>
  </si>
  <si>
    <t xml:space="preserve">What now?</t>
  </si>
  <si>
    <t xml:space="preserve">Story: Rapid-sequence induction at term for eclamptic seizures. Pre-oxygenated well. Four minutes into a difficult laryngoscopy the saturation is still high. Answer: Stop and oxygenate now (mask or supraglottic airway): she is about a minute from the cliff. Other options: Keep going — 98 % leaves plenty of time | Wait for the saturation to reach 90 % before stopping | Apply cricoid pressure harder and continue. Explanation: A smaller functional residual capacity and higher oxygen use give a term pregnancy about five minutes, not eight — and the fall below 90 % is steep.</t>
  </si>
  <si>
    <t xml:space="preserve">case-abg-apnoea-preg#2</t>
  </si>
  <si>
    <t xml:space="preserve">What would have bought her more time?</t>
  </si>
  <si>
    <t xml:space="preserve">Answer: Head-up position during pre-oxygenation and nasal oxygen during the attempt. Other options: Lying her completely flat | Pre-oxygenating with room air | Hyperventilating after induction. Explanation: Head-up (with left uterine displacement) gives back some lung volume; oxygen flowing through the nose keeps topping up the alveoli during apnoea.</t>
  </si>
  <si>
    <t xml:space="preserve">case-lines-aortocaval#1</t>
  </si>
  <si>
    <t xml:space="preserve">Lines › Challenge › Faint on the stretcher at 36 weeks (Novice)</t>
  </si>
  <si>
    <t xml:space="preserve">What is the most likely cause?</t>
  </si>
  <si>
    <t xml:space="preserve">Story: 36 weeks pregnant, transferred for reduced fetal movements. Lying flat on the stretcher she becomes pale, sweaty and light-headed. Answer: Aortocaval compression: the uterus is squeezing the inferior vena cava. Other options: Hidden haemorrhage | Pulmonary embolism | Vasovagal fainting only. Explanation: Supine at term, venous return falls and output drops by up to a third; the low CVP fits.</t>
  </si>
  <si>
    <t xml:space="preserve">case-lines-aortocaval#2</t>
  </si>
  <si>
    <t xml:space="preserve">First action?</t>
  </si>
  <si>
    <t xml:space="preserve">Answer: Left uterine displacement — tilt her or push the uterus to the left. Other options: A 2 L fluid bolus | Start a vasopressor infusion | Raise her legs while keeping her flat. Explanation: Relieving the compression restores venous return within a minute; the placenta, which has no autoregulation, benefits at once.</t>
  </si>
  <si>
    <t xml:space="preserve">case-lines-pph#1</t>
  </si>
  <si>
    <t xml:space="preserve">Lines › Challenge › Bleeding after delivery, pressure “fine” (Advanced)</t>
  </si>
  <si>
    <t xml:space="preserve">How worried should you be?</t>
  </si>
  <si>
    <t xml:space="preserve">Story: Thirty minutes after a vaginal delivery, a soft uterus and ongoing bleeding. The estimated loss is nearly two litres. The midwife says the blood pressure is fine. Answer: Very — the shock index is well above 1: she is compensating for a large loss. Other options: Not very — the systolic pressure is still near 90 | Only if she becomes confused | Only once the pressure falls below 70. Explanation: Pregnant women hold their pressure until late because of a 6.5 L blood volume and strong vasoconstriction. Heart rate divided by systolic pressure unmasks the loss.</t>
  </si>
  <si>
    <t xml:space="preserve">case-lines-pph#2</t>
  </si>
  <si>
    <t xml:space="preserve">Best next steps?</t>
  </si>
  <si>
    <t xml:space="preserve">Answer: Uterine massage and uterotonics, tranexamic acid, blood and products, call for help. Other options: Crystalloid until the pressure is normal, then reassess | Wait for a haemoglobin result | Vasopressor to raise the pressure. Explanation: Treat the cause (uterine atony is the commonest) and replace blood; early tranexamic acid reduces death from bleeding.</t>
  </si>
  <si>
    <t xml:space="preserve">lines-case:c-bubble</t>
  </si>
  <si>
    <t xml:space="preserve">Lines › Challenge › The BP that nobody believes</t>
  </si>
  <si>
    <t xml:space="preserve">What is the most likely problem?</t>
  </si>
  <si>
    <t xml:space="preserve">The arterial line reads about 135/73 and the trace looks spiky. The cuff just read about 115/78. The patient looks well. Answer: Underdamped line — resonance from a small bubble or long tubing. Other options: Overdamped line — a clot at the tip | The transducer is too low | True hypertension — the cuff is wrong. Explanation: A systolic overshoot with a normal MAP and a ringing square-wave test is underdamping. Do a fast-flush test (more than 2 oscillations), find the bubble, aspirate and flush.</t>
  </si>
  <si>
    <t xml:space="preserve">lines-case:c-hob</t>
  </si>
  <si>
    <t xml:space="preserve">Lines › Challenge › CVP 25 after the chest X-ray</t>
  </si>
  <si>
    <t xml:space="preserve">Why did both pressures jump?</t>
  </si>
  <si>
    <t xml:space="preserve">The bed was sat up to 30° for a chest X-ray. Since then the CVP reads about 25 and the MAP has risen 20 mmHg. Nothing else has changed and the patient looks the same. Answer: The phlebostatic axis rose but the transducer did not — it now sits below the axis. Other options: Fluid overload from the X-ray contrast | The transducer drifted — it needs zeroing | Tension pneumothorax. Explanation: Both lines rose by the same amount at the same moment: a reference-level error. Sitting the patient up raised the axis about 27 cm, so every reading is ≈ 20 mmHg too high. Re-level the transducer to the axis.</t>
  </si>
  <si>
    <t xml:space="preserve">lines-case:c-openair</t>
  </si>
  <si>
    <t xml:space="preserve">Lines › Challenge › Flat line after the blood gas</t>
  </si>
  <si>
    <t xml:space="preserve">Two minutes after an arterial blood gas was drawn, the monitor alarms: ART reads 0 with a flat trace. The patient is talking to you. Answer: The sampling stopcock was left open to air. Other options: Cardiac arrest | Massive clot in the radial artery | The pressure bag burst. Explanation: A flat line at zero in a talking patient is a system problem. The sampling port was left open to air with the stopcock off to the patient, so the transducer reads atmosphere. Cap it, turn the stopcock back to the patient, and check for blood loss. (Had it been left open toward the patient, blood would run out — or, on a central line, air would be drawn in.)</t>
  </si>
  <si>
    <t xml:space="preserve">lines-case:c-clot</t>
  </si>
  <si>
    <t xml:space="preserve">Lines › Challenge › Blunted and getting worse</t>
  </si>
  <si>
    <t xml:space="preserve">What is the problem?</t>
  </si>
  <si>
    <t xml:space="preserve">The arterial trace has lost its dicrotic notch and looks rounded. Systolic has drifted down to about 110. Drawing blood back from the sampling port is sluggish. Answer: Overdamped: a clot at the catheter tip. Other options: Underdamped: long tubing | Hypovolaemia | Aortic stenosis. Explanation: Rounded trace, lost notch, low systolic, high diastolic, MAP unchanged, and a square-wave test with no bounce: overdamped. Sluggish blood return points to a clot. Aspirate it — never flush a clot forward into the radial artery.</t>
  </si>
  <si>
    <t xml:space="preserve">lines-case:c-zero</t>
  </si>
  <si>
    <t xml:space="preserve">Lines › Challenge › Hypotension that isn’t</t>
  </si>
  <si>
    <t xml:space="preserve">What went wrong?</t>
  </si>
  <si>
    <t xml:space="preserve">After the transducer was changed, the arterial line reads 26/−21 with a perfect-looking waveform. The patient is pink and talking; the cuff reads about 115/78. Answer: It was zeroed while open to the patient. Other options: The transducer is 60 cm too high | Severe vasodilatory shock | The line is overdamped. Explanation: The shape is normal but the whole waveform is shifted down by about the patient’s own mean pressure. Zeroing with the stopcock open to the patient made the monitor treat the MAP as “zero”. Turn the stopcock off to the patient, open to air, zero, and turn it back.</t>
  </si>
  <si>
    <t xml:space="preserve">lines-case:c-bag</t>
  </si>
  <si>
    <t xml:space="preserve">Lines › Challenge › Blood in the tubing</t>
  </si>
  <si>
    <t xml:space="preserve">What is the cause?</t>
  </si>
  <si>
    <t xml:space="preserve">Blood has crept up the arterial tubing toward the transducer and the trace is becoming damped. The fast-flush only reaches about 90 mmHg. Answer: Pressure bag under-inflated — below arterial systolic. Other options: Transducer below the axis | Catheter in the vein | Underdamped system. Explanation: The flush bag must be at 300 mmHg — above systolic — or blood backs up the line, the continuous flush stops and the catheter clots. Inflate the bag to 300 and flush the blood back.</t>
  </si>
  <si>
    <t xml:space="preserve">lines-case:c-migrated</t>
  </si>
  <si>
    <t xml:space="preserve">Lines › Challenge › The CVP that pulses to 25</t>
  </si>
  <si>
    <t xml:space="preserve">What does the waveform show?</t>
  </si>
  <si>
    <t xml:space="preserve">The CVP trace now swings from about 2 to 25 mmHg with every beat, and there are occasional ectopic beats. Freeze the monitor and look at the shape. Answer: The catheter tip has migrated into the right ventricle. Other options: Giant v waves from tricuspid regurgitation | Cannon a waves from heart block | An underdamped CVP line. Explanation: A sharp systolic rise to ≈ 25 and a diastolic floor near zero is a ventricular trace. TR can give a large c-v wave, but diastolic pressure stays high. Notify the provider and get a chest X-ray; stop vasoactive infusions through that lumen until the tip is confirmed. The provider withdraws it to the cavo-atrial junction; ectopy settles once the tip leaves the RV.</t>
  </si>
  <si>
    <t xml:space="preserve">lines-case:c-transport</t>
  </si>
  <si>
    <t xml:space="preserve">Lines › Challenge › Onto the transport stretcher</t>
  </si>
  <si>
    <t xml:space="preserve">Before changing the norepinephrine, what do you suspect?</t>
  </si>
  <si>
    <t xml:space="preserve">You have just moved the patient onto the transport stretcher. The arterial trace looks smudged and MAP reads higher than a minute ago. Norepinephrine 0.1 µg/kg/min is running. Find everything that is wrong before you touch the pump. Answer: A monitoring problem: the transducer was not re-levelled and the trace is damped. Other options: The septic shock has resolved | The norepinephrine dose is too high | Fluid overload. Explanation: A sudden change after moving a patient is a monitoring problem until proven otherwise. The transducer stayed at the old bed height (reading high), and the wrist is flexed, kinking the cannula (damped). Level, straighten the wrist, check with a flush test — then titrate to the real MAP.</t>
  </si>
  <si>
    <t xml:space="preserve">lines-case:c-read-tamp</t>
  </si>
  <si>
    <t xml:space="preserve">Lines › Challenge › Six hours after cardiac surgery</t>
  </si>
  <si>
    <t xml:space="preserve">What is the diagnosis?</t>
  </si>
  <si>
    <t xml:space="preserve">Six hours after valve surgery, the chest drains have stopped draining. Heart rate about 130. Look at both traces with the breathing. Answer: Cardiac tamponade. Other options: Hypovolaemia from bleeding | LV failure | Complete heart block. Explanation: High CVP (≈ 18) with no y descent, a narrow pulse pressure, and systolic falling more than 10 mmHg on each breath in (pulsus paradoxus): tamponade. Hypovolaemia would have a low CVP. Treatment: surgical re-exploration or pericardiocentesis.</t>
  </si>
  <si>
    <t xml:space="preserve">lines-case:c-read-chb</t>
  </si>
  <si>
    <t xml:space="preserve">Lines › Challenge › Slow and strange</t>
  </si>
  <si>
    <t xml:space="preserve">What causes the tall CVP waves?</t>
  </si>
  <si>
    <t xml:space="preserve">Heart rate 38. Every so often a very tall wave appears on the CVP trace. Answer: Cannon a waves: atria contracting against a closed tricuspid (AV dissociation). Other options: Giant v waves of tricuspid regurgitation | Catheter in the right ventricle | Artefact from coughing. Explanation: The tall waves are intermittent and fall where an independent P wave lands during ventricular systole: cannon a waves of complete heart block. The slow rate also gives large stroke volumes and a wide pulse pressure.</t>
  </si>
  <si>
    <t xml:space="preserve">lines-case:c-read-ar</t>
  </si>
  <si>
    <t xml:space="preserve">Lines › Challenge › A bounding pulse</t>
  </si>
  <si>
    <t xml:space="preserve">Which lesion fits?</t>
  </si>
  <si>
    <t xml:space="preserve">The arterial trace shows a steep upstroke, a very low diastolic pressure and no clear dicrotic notch. Answer: Aortic regurgitation. Other options: Aortic stenosis | Hypovolaemia | Tamponade. Explanation: Very wide pulse pressure, low diastolic pressure, steep upstroke and a lost notch (often a bisferiens double peak): aortic regurgitation. AS is the opposite — slow, small and late.</t>
  </si>
  <si>
    <t xml:space="preserve">lines-case:c-read-as</t>
  </si>
  <si>
    <t xml:space="preserve">Lines › Challenge › Slow to rise</t>
  </si>
  <si>
    <t xml:space="preserve">An elderly patient with a systolic murmur. The arterial upstroke is slow, with a shoulder on the way up, and peaks late. Answer: Aortic stenosis. Other options: Aortic regurgitation | Septic shock | Stiff arteries only. Explanation: Pulsus parvus et tardus — a small, late, slow-rising pulse with an anacrotic shoulder — is aortic stenosis.</t>
  </si>
  <si>
    <t xml:space="preserve">lines-case:c-ppv-af</t>
  </si>
  <si>
    <t xml:space="preserve">Lines › Challenge › Is she fluid-responsive?</t>
  </si>
  <si>
    <t xml:space="preserve">What do you make of the PPV?</t>
  </si>
  <si>
    <t xml:space="preserve">Ventilated, MAP 80. The monitor shows a pulse-pressure variation over 30 %. The team suggests a fluid bolus. Answer: It cannot be used: the rhythm is irregular (AF). Other options: Over 13 % — give fluid | Over 13 % — start a vasopressor | It proves she is overloaded. Explanation: PPV needs a regular rhythm: in AF every beat has a different filling time, so the pulse pressure varies whatever the volume status. Use a passive leg raise or a fluid challenge with a cardiac-output measure instead.</t>
  </si>
  <si>
    <t xml:space="preserve">lines-case:c-goal-fluid</t>
  </si>
  <si>
    <t xml:space="preserve">Lines › Challenge › Resuscitate the bleeding patient</t>
  </si>
  <si>
    <t xml:space="preserve">Is this patient likely to respond to fluid?</t>
  </si>
  <si>
    <t xml:space="preserve">Haemorrhage, now controlled. Ventilated at 8 mL/kg, sinus tachycardia. Use the waveform to guide fluid. Answer: Yes — PPV &gt; 13 % on controlled ventilation in sinus rhythm. Other options: No — the CVP is low | Cannot tell without a cuff pressure | No — the MAP is 65. Explanation: All the conditions for PPV are met and it is well above 13 %. Give fluid in 500 mL steps and re-check the variation after each.</t>
  </si>
  <si>
    <t xml:space="preserve">lines-case:c-goal-sepsis</t>
  </si>
  <si>
    <t xml:space="preserve">Lines › Challenge › Warm, vasodilated and hypotensive</t>
  </si>
  <si>
    <t xml:space="preserve">What does the waveform suggest is the main problem?</t>
  </si>
  <si>
    <t xml:space="preserve">Septic shock after 2 L of fluid. MAP in the high 50s, low diastolic, low dicrotic notch. Answer: Low vascular tone — a vasopressor is needed. Other options: Pump failure — start an inotrope | Severe hypovolaemia only | Tamponade. Explanation: Low diastolic pressure with a notch near the diastolic level and a high heart rate: vasoplegia. Norepinephrine restores tone. PPV is still just above 13 %, so some fluid may help alongside it.</t>
  </si>
  <si>
    <t xml:space="preserve">3fd337c1:caption</t>
  </si>
  <si>
    <t xml:space="preserve">Real media › xray</t>
  </si>
  <si>
    <t xml:space="preserve">Portable AP film, ventilated patient — caption</t>
  </si>
  <si>
    <t xml:space="preserve">Endotracheal tube in the trachea, ECG leads and lines; patchy airspace opacities in both lungs (COVID-19 pneumonia) — the pattern the ARDS lesson draws.</t>
  </si>
  <si>
    <t xml:space="preserve">Institute for Diagnostic and Interventional Radiology, Hannover Medical School (MHH), Germany. COVID-19 Image Repository — https://github.com/ml-workgroup/covid-19-image-repository (copy retrieved from https://github.com/ieee8023/covid-chestxray-dataset, images/&lt;id&gt;.jpg). CC BY 3.0</t>
  </si>
  <si>
    <t xml:space="preserve">3fd337c1:look</t>
  </si>
  <si>
    <t xml:space="preserve">Portable AP film, ventilated patient — look for</t>
  </si>
  <si>
    <t xml:space="preserve">Tube tip above the carina · Bilateral patchy opacities · Heart size not enlarged · Lines and leads crossing the film</t>
  </si>
  <si>
    <t xml:space="preserve">98c24e39:caption</t>
  </si>
  <si>
    <t xml:space="preserve">Portable AP film, severe bilateral disease — caption</t>
  </si>
  <si>
    <t xml:space="preserve">Dense opacities in both lungs with many tubes, lines and leads over the chest — typical of a sick ICU patient; the lines are not lung disease.</t>
  </si>
  <si>
    <t xml:space="preserve">98c24e39:look</t>
  </si>
  <si>
    <t xml:space="preserve">Portable AP film, severe bilateral disease — look for</t>
  </si>
  <si>
    <t xml:space="preserve">Opacities in both lungs · Many external lines — follow each one · Borders of heart and diaphragm blurred</t>
  </si>
  <si>
    <t xml:space="preserve">bfefde5d:caption</t>
  </si>
  <si>
    <t xml:space="preserve">Bedside film, lungs largely clear — caption</t>
  </si>
  <si>
    <t xml:space="preserve">A bedside ("Bettaufnahme") film with largely clear lungs and an implanted port in the left upper chest — a baseline to compare against.</t>
  </si>
  <si>
    <t xml:space="preserve">bfefde5d:look</t>
  </si>
  <si>
    <t xml:space="preserve">Bedside film, lungs largely clear — look for</t>
  </si>
  <si>
    <t xml:space="preserve">Lung markings reach the periphery · Sharp heart and diaphragm borders · Port catheter from the left chest wall</t>
  </si>
  <si>
    <t xml:space="preserve">alines:caption</t>
  </si>
  <si>
    <t xml:space="preserve">Real media › lus</t>
  </si>
  <si>
    <t xml:space="preserve">A-lines: aerated lung — caption</t>
  </si>
  <si>
    <t xml:space="preserve">Longitudinal anterior chest scan in aerated lung: horizontal repeats of the pleural line (A-lines). Faint in this clip.</t>
  </si>
  <si>
    <t xml:space="preserve">Ana Luisa Silveira Vieira, José Muniz Pazeli Júnior, Marcus Gomes Bastos. “Role of point-of-care ultrasound during the COVID-19 pandemic: our recommendations in the management of dialytic patients”, The Ultrasound Journal 12:30 (2020), https://doi.org/10.1186/s13089-020-00177-4 (clip via https://github.com/jannisborn/covid19_ultrasound). CC BY 4.0</t>
  </si>
  <si>
    <t xml:space="preserve">alines:look</t>
  </si>
  <si>
    <t xml:space="preserve">A-lines: aerated lung — look for</t>
  </si>
  <si>
    <t xml:space="preserve">Bright pleural line · Horizontal repeats at equal spacing · No vertical B-lines</t>
  </si>
  <si>
    <t xml:space="preserve">blines:caption</t>
  </si>
  <si>
    <t xml:space="preserve">B-lines — caption</t>
  </si>
  <si>
    <t xml:space="preserve">Right lateral chest in COVID-19 pneumonia: vertical bright B-lines from the pleural line to the bottom of the screen, alternating with A-lines, and a thickened pleura.</t>
  </si>
  <si>
    <t xml:space="preserve">Giovanni Volpicelli, Luna Gargani. “Sonographic signs and patterns of COVID-19 pneumonia”, The Ultrasound Journal 12:22 (2020), https://doi.org/10.1186/s13089-020-00171-w (clip via https://github.com/jannisborn/covid19_ultrasound). CC BY 4.0</t>
  </si>
  <si>
    <t xml:space="preserve">blines:look</t>
  </si>
  <si>
    <t xml:space="preserve">B-lines — look for</t>
  </si>
  <si>
    <t xml:space="preserve">Vertical lines from the pleura · They reach the bottom of the screen · They move with lung sliding</t>
  </si>
  <si>
    <t xml:space="preserve">whitelung:caption</t>
  </si>
  <si>
    <t xml:space="preserve">White lung: confluent B-lines — caption</t>
  </si>
  <si>
    <t xml:space="preserve">H1N1 pneumonia, lateral mid-chest: confluent B-lines ("white lung") with superficial consolidation and a thickened pleural line.</t>
  </si>
  <si>
    <t xml:space="preserve">Americo Testa, Gino Soldati, Roberto Copetti, Rosangela Giannuzzi, Grazia Portale, Nicolò Gentiloni-Silveri. “Early recognition of the 2009 pandemic influenza A (H1N1) pneumonia by chest ultrasound”, Critical Care 16:R30 (2012), https://doi.org/10.1186/cc11201 (clip via https://github.com/jannisborn/covid19_ultrasound). CC BY 2.0</t>
  </si>
  <si>
    <t xml:space="preserve">whitelung:look</t>
  </si>
  <si>
    <t xml:space="preserve">White lung: confluent B-lines — look for</t>
  </si>
  <si>
    <t xml:space="preserve">No black gaps between B-lines · Irregular pleural line · Small subpleural consolidations</t>
  </si>
  <si>
    <t xml:space="preserve">ptx-expiratory:caption</t>
  </si>
  <si>
    <t xml:space="preserve">Real media › ptx</t>
  </si>
  <si>
    <t xml:space="preserve">Left pneumothorax — film taken in expiration — caption</t>
  </si>
  <si>
    <t xml:space="preserve">Upright AP film taken in expiration. The “Sin” marker (sinister = left) sits over the image right, so the patient’s left is on your right. At the top of the left chest is black air with no lung markings, above a thin white line where the edge of the left upper lobe has fallen away from the chest wall — a left apical pneumothorax. The trachea and mediastinum stay central: not tension.</t>
  </si>
  <si>
    <t xml:space="preserve">Mikael Häggström, M.D.. Wikimedia Commons, own work (5 March 2018) — https://commons.wikimedia.org/wiki/File:Expired_X-ray_of_pneumothorax.jpg. CC0</t>
  </si>
  <si>
    <t xml:space="preserve">ptx-expiratory:look</t>
  </si>
  <si>
    <t xml:space="preserve">Left pneumothorax — film taken in expiration — look for</t>
  </si>
  <si>
    <t xml:space="preserve">The “Sin” marker: patient’s left is on the image right · Left apex: black, markingless air · The lung edge — a thin white line just above the ECG electrode ring · Right lung: markings reach the chest wall · Trachea central; below the left diaphragm, stomach gas with a flat fluid level</t>
  </si>
  <si>
    <t xml:space="preserve">ptx-expiratory:teach</t>
  </si>
  <si>
    <t xml:space="preserve">Left pneumothorax — film taken in expiration — teaching points</t>
  </si>
  <si>
    <t xml:space="preserve">Breathing out shrinks the lung but not the trapped pleural air, so a small pneumothorax is easier to see — expiratory films are not routine; an ordinary inspiratory film shows most. · Upright, pleural air rises to the apex; supine, it collects in front and at the base (the deep sulcus sign) instead. · Follow the markings to where they stop — skin folds, the scapula edge and external wires make lines too, but lung markings continue past them. · Tension is a clinical diagnosis — a crashing patient gets decompressed, not a film. Here the mediastinum is central.</t>
  </si>
  <si>
    <t xml:space="preserve">ptx-expiratory:quiz</t>
  </si>
  <si>
    <t xml:space="preserve">Left pneumothorax — film taken in expiration — question</t>
  </si>
  <si>
    <t xml:space="preserve">Where is the pneumothorax on this film? Answer: Left apex. Explanation: The “Sin” (left) marker is on the image right. On that side the top of the chest is black with no markings above a thin lung-edge line. The black area under the left diaphragm is stomach gas — it has a flat fluid level and sits below the diaphragm.</t>
  </si>
  <si>
    <t xml:space="preserve">ptx-expiratory:marks</t>
  </si>
  <si>
    <t xml:space="preserve">Left pneumothorax — film taken in expiration — overlay labels (check placement in the app)</t>
  </si>
  <si>
    <t xml:space="preserve">pathology: Lung edge (visceral pleura) · pathology: Pleural air — no markings · landmark: “Sin” = patient’s left · landmark: Trachea — central · landmark: Right lung: markings to the edge · landmark: ECG electrode (outside the chest) · landmark: Stomach gas under the diaphragm</t>
  </si>
  <si>
    <t xml:space="preserve">fast-ruq-positive:caption</t>
  </si>
  <si>
    <t xml:space="preserve">Real media › fast</t>
  </si>
  <si>
    <t xml:space="preserve">Positive FAST — right upper quadrant — caption</t>
  </si>
  <si>
    <t xml:space="preserve">Right-upper-quadrant (hepatorenal) view, probe marker toward the head. Liver in the near field, right kidney beneath it, and between them a thin black crescent of free fluid in Morison’s pouch. The probe then sweeps toward the liver tip, where more fluid shows.</t>
  </si>
  <si>
    <t xml:space="preserve">Gillman L, Ball C, Panebianco N, Al-Kadi A, Kirkpatrick A. “Clinician performed resuscitative ultrasonography for the initial evaluation and resuscitation of trauma”, Scandinavian Journal of Trauma, Resuscitation and Emergency Medicine 17:34 (2009), https://doi.org/10.1186/1757-7241-17-34 — supplementary video S1 (“Positive FAST of Hepatorenal Fossa”), via Wikimedia Commons https://commons.wikimedia.org/wiki/File:Clinician-performed-resuscitative-ultrasonography-for-the-initial-evaluation-and-resuscitation-of-1757-7241-17-34-S1.ogv. CC BY 2.0</t>
  </si>
  <si>
    <t xml:space="preserve">fast-ruq-positive:look</t>
  </si>
  <si>
    <t xml:space="preserve">Positive FAST — right upper quadrant — look for</t>
  </si>
  <si>
    <t xml:space="preserve">Liver — fine, even texture at the top of the fan · Right kidney — bright central sinus, darker cortex · Morison’s pouch — the interface between liver and kidney · A black (anechoic) crescent there = free fluid · Later frames: more fluid near the liver tip</t>
  </si>
  <si>
    <t xml:space="preserve">fast-ruq-positive:teach</t>
  </si>
  <si>
    <t xml:space="preserve">Positive FAST — right upper quadrant — teaching points</t>
  </si>
  <si>
    <t xml:space="preserve">Supine, Morison’s pouch is the lowest upper-abdominal space, so fluid gathers there first. · In an unstable trauma patient a positive FAST points to the abdomen as the bleeding source — theatre or angiography. · A negative FAST does not rule out injury: small volumes and retroperitoneal bleeding are missed. Repeat it when things change. · Clotted blood can look grey rather than black.</t>
  </si>
  <si>
    <t xml:space="preserve">fast-ruq-positive:quiz</t>
  </si>
  <si>
    <t xml:space="preserve">Positive FAST — right upper quadrant — question</t>
  </si>
  <si>
    <t xml:space="preserve">What is the black stripe between liver and kidney? Answer: Free intraperitoneal fluid in Morison’s pouch. Explanation: Fluid is anechoic (black). Between liver and kidney it sits in the hepatorenal recess — in trauma, blood until proven otherwise. Rib shadows are black bands that run from the probe straight down through everything.</t>
  </si>
  <si>
    <t xml:space="preserve">fast-ruq-positive:marks</t>
  </si>
  <si>
    <t xml:space="preserve">Positive FAST — right upper quadrant — overlay labels (check placement in the app)</t>
  </si>
  <si>
    <t xml:space="preserve">landmark: Liver · landmark: Right kidney · landmark: Morison’s pouch · pathology: Free fluid (anechoic)</t>
  </si>
  <si>
    <t xml:space="preserve">ivc-2026-video-s1:caption</t>
  </si>
  <si>
    <t xml:space="preserve">Real media › ivc</t>
  </si>
  <si>
    <t xml:space="preserve">IVC — long axis under the liver — caption</t>
  </si>
  <si>
    <t xml:space="preserve">Subxiphoid long-axis scan. The inferior vena cava is the dark tube running across the screen deep to the liver, with a hepatic vein above it. The patient’s head is to the screen left: followed that way, the IVC reaches its junction with the right atrium. The probe rocks during the clip, so the view changes.</t>
  </si>
  <si>
    <t xml:space="preserve">Nathan C. Shaul, Alan M. Smeltz, Evan J. Raff, Shawn Jia, Lauriane Guichard, Daniel J. Rosenkrans, Jay W. Schoenherr, Jacob D. Acton, Duncan J. McLean, Mark E. Henry, Alexander Doyal. “Point-of-care ultrasound to evaluate volume status in congestive heart failure”, Journal of Cardiovascular Imaging 34:17 (2026), https://doi.org/10.1186/s44348-026-00078-5 — supplementary item 1, https://www.ebi.ac.uk/europepmc/webservices/rest/PMC13343992/supplementaryFiles → 44348_2026_78_MOESM1_ESM.avi. CC BY 4.0</t>
  </si>
  <si>
    <t xml:space="preserve">ivc-2026-video-s1:look</t>
  </si>
  <si>
    <t xml:space="preserve">IVC — long axis under the liver — look for</t>
  </si>
  <si>
    <t xml:space="preserve">Liver on top as the window · IVC — the dark tube running across the screen, deep to the liver · A hepatic vein in the liver above it · Screen left = toward the head and the right atrium · Diameter change with breathing — judge it over several breaths, not one frame</t>
  </si>
  <si>
    <t xml:space="preserve">ivc-2026-video-s1:teach</t>
  </si>
  <si>
    <t xml:space="preserve">IVC — long axis under the liver — teaching points</t>
  </si>
  <si>
    <t xml:space="preserve">Prove it is the IVC by following it into the right atrium — the aorta lies deeper and to the left and never enters the heart. · Measure 1–2 cm below the hepatic-vein junction, at right angles to the vessel. · Small and collapsing fits a low right-atrial pressure; wide and fixed fits a high one. · It does not reliably predict who will respond to fluid: positive-pressure ventilation, raised abdominal pressure, RV failure, tricuspid regurgitation and vigorous breathing all change it. · Read it with the lungs, the heart, the patient and the trend — never alone.</t>
  </si>
  <si>
    <t xml:space="preserve">ivc-2026-video-s1:quiz</t>
  </si>
  <si>
    <t xml:space="preserve">IVC — long axis under the liver — question</t>
  </si>
  <si>
    <t xml:space="preserve">A wide IVC that barely changes with breathing most directly tells you… Answer: Right-atrial pressure is high. Explanation: IVC size reflects right-atrial pressure. That can be high from volume, RV failure, tamponade, tricuspid regurgitation or positive pressure — it is not a verdict on fluid responsiveness.</t>
  </si>
  <si>
    <t xml:space="preserve">ivc-2026-video-s1:marks</t>
  </si>
  <si>
    <t xml:space="preserve">IVC — long axis under the liver — overlay labels (check placement in the app)</t>
  </si>
  <si>
    <t xml:space="preserve">landmark: Liver · landmark: Hepatic vein · landmark: IVC (long axis) · landmark: ← toward the right atrium</t>
  </si>
  <si>
    <t xml:space="preserve">ijv-2026-video-s2:caption</t>
  </si>
  <si>
    <t xml:space="preserve">Real media › ijv</t>
  </si>
  <si>
    <t xml:space="preserve">Internal jugular vein — long axis and collapse point — caption</t>
  </si>
  <si>
    <t xml:space="preserve">Long-axis neck scan with a linear probe. The internal jugular vein is the superficial dark tube; the carotid artery runs deeper and parallel to it. Where the vein’s walls come together is its collapse point. With probe pressure the vein flattens while the carotid stays open and pulses.</t>
  </si>
  <si>
    <t xml:space="preserve">Nathan C. Shaul, Alan M. Smeltz, Evan J. Raff, Shawn Jia, Lauriane Guichard, Daniel J. Rosenkrans, Jay W. Schoenherr, Jacob D. Acton, Duncan J. McLean, Mark E. Henry, Alexander Doyal. “Point-of-care ultrasound to evaluate volume status in congestive heart failure”, Journal of Cardiovascular Imaging 34:17 (2026), https://doi.org/10.1186/s44348-026-00078-5 — supplementary item 2, https://www.ebi.ac.uk/europepmc/webservices/rest/PMC13343992/supplementaryFiles → 44348_2026_78_MOESM2_ESM.avi. CC BY 4.0</t>
  </si>
  <si>
    <t xml:space="preserve">ijv-2026-video-s2:look</t>
  </si>
  <si>
    <t xml:space="preserve">Internal jugular vein — long axis and collapse point — look for</t>
  </si>
  <si>
    <t xml:space="preserve">Sternocleidomastoid on top · IJV — the superficial dark tube · Carotid — the deeper, parallel tube that keeps its shape · Collapse point — where the vein’s walls meet · Under pressure: the vein flattens; the artery pulses and stays open</t>
  </si>
  <si>
    <t xml:space="preserve">ijv-2026-video-s2:teach</t>
  </si>
  <si>
    <t xml:space="preserve">Internal jugular vein — long axis and collapse point — teaching points</t>
  </si>
  <si>
    <t xml:space="preserve">In long axis both vessels are tubes, so shape cannot separate them — use depth, compressibility and pulsatility, and check in short axis too. · Doppler colour shows direction relative to the probe, not artery or vein: red and blue alone prove nothing. · Veins can look pulsatile from transmitted pulsation; an artery still will not collapse. · Where the vein sits over the artery, a needle through both walls of the vein reaches the carotid — keep the tip in view. · The collapse point moves with volume and breathing: head-down tilt or a Valsalva fills the vein and gives a bigger target.</t>
  </si>
  <si>
    <t xml:space="preserve">ijv-2026-video-s2:quiz</t>
  </si>
  <si>
    <t xml:space="preserve">Internal jugular vein — long axis and collapse point — question</t>
  </si>
  <si>
    <t xml:space="preserve">Which finding best identifies the vein? Answer: It collapses completely with gentle probe pressure. Explanation: Veins collapse under light pressure; arteries do not. Colour depends on flow direction relative to the probe, veins can pulsate, and depth varies between people.</t>
  </si>
  <si>
    <t xml:space="preserve">ijv-2026-video-s2:marks</t>
  </si>
  <si>
    <t xml:space="preserve">Internal jugular vein — long axis and collapse point — overlay labels (check placement in the app)</t>
  </si>
  <si>
    <t xml:space="preserve">landmark: Sternocleidomastoid · landmark: Internal jugular vein · landmark: Carotid artery (deeper) · pathology: Collapse point</t>
  </si>
  <si>
    <t xml:space="preserve">lus-lung-point-gillman:caption</t>
  </si>
  <si>
    <t xml:space="preserve">Real media › ptxlus</t>
  </si>
  <si>
    <t xml:space="preserve">Lung point — pneumothorax on ultrasound — caption</t>
  </si>
  <si>
    <t xml:space="preserve">Real trauma scan over the right upper chest with a linear probe. The lung point is the edge of the pneumothorax: on one side of it the pleura is still (air), and with each breath the lung slides in from the screen right and back out again.</t>
  </si>
  <si>
    <t xml:space="preserve">Gillman L, Ball C, Panebianco N, Al-Kadi A, Kirkpatrick A. “Clinician performed resuscitative ultrasonography for the initial evaluation and resuscitation of trauma”, Scandinavian Journal of Trauma, Resuscitation and Emergency Medicine 17:34 (2009), https://doi.org/10.1186/1757-7241-17-34 — supplementary video S7 (“Lung Point”), via Wikimedia Commons https://commons.wikimedia.org/wiki/File:Clinician-performed-resuscitative-ultrasonography-for-the-initial-evaluation-and-resuscitation-of-1757-7241-17-34-S7.ogv. CC BY 2.0</t>
  </si>
  <si>
    <t xml:space="preserve">lus-lung-point-gillman:look</t>
  </si>
  <si>
    <t xml:space="preserve">Lung point — pneumothorax on ultrasound — look for</t>
  </si>
  <si>
    <t xml:space="preserve">The bright pleural line under the chest wall · Where the pleura stays still — only A-lines beneath · Lung sliding in from the screen right with each breath · The lung point — the spot where the two meet, moving with breathing</t>
  </si>
  <si>
    <t xml:space="preserve">lus-lung-point-gillman:teach</t>
  </si>
  <si>
    <t xml:space="preserve">Lung point — pneumothorax on ultrasound — teaching points</t>
  </si>
  <si>
    <t xml:space="preserve">Absent sliding alone is not a pneumothorax: pleurodesis, apnoea, mainstem intubation and adhesions stop sliding too. · B-lines or a lung pulse where you look rule out a pneumothorax at that spot — the pleurae are touching. · A lung point confirms a pneumothorax, and where it sits hints at its size: the further lateral and posterior, the bigger. · In a crashing patient with absent sliding and no lung point, treat the patient, not the scan.</t>
  </si>
  <si>
    <t xml:space="preserve">lus-lung-point-gillman:quiz</t>
  </si>
  <si>
    <t xml:space="preserve">Lung point — pneumothorax on ultrasound — question</t>
  </si>
  <si>
    <t xml:space="preserve">Which finding confirms a pneumothorax? Answer: A lung point. Explanation: Absent sliding, A-lines and no B-lines all fit a pneumothorax but have other causes. A lung point — sliding lung meeting still pleural air at one spot — is specific.</t>
  </si>
  <si>
    <t xml:space="preserve">lus-absent-sliding-gillman:caption</t>
  </si>
  <si>
    <t xml:space="preserve">Absent lung sliding — caption</t>
  </si>
  <si>
    <t xml:space="preserve">Linear-probe scan over the front of the chest. The bright pleural line between two rib shadows stays still as the patient breathes — no shimmer. Late in the clip the probe slides along the chest.</t>
  </si>
  <si>
    <t xml:space="preserve">Gillman L, Ball C, Panebianco N, Al-Kadi A, Kirkpatrick A. “Clinician performed resuscitative ultrasonography for the initial evaluation and resuscitation of trauma”, Scandinavian Journal of Trauma, Resuscitation and Emergency Medicine 17:34 (2009), https://doi.org/10.1186/1757-7241-17-34 — supplementary video S4 (“Absent Lung Sliding”), via Wikimedia Commons https://commons.wikimedia.org/wiki/File:Clinician-performed-resuscitative-ultrasonography-for-the-initial-evaluation-and-resuscitation-of-1757-7241-17-34-S4.ogv. CC BY 2.0</t>
  </si>
  <si>
    <t xml:space="preserve">lus-absent-sliding-gillman:look</t>
  </si>
  <si>
    <t xml:space="preserve">Absent lung sliding — look for</t>
  </si>
  <si>
    <t xml:space="preserve">The pleural line between the rib shadows · No shimmer or to-and-fro movement · A-lines persist below · No B-lines</t>
  </si>
  <si>
    <t xml:space="preserve">lus-absent-sliding-gillman:teach</t>
  </si>
  <si>
    <t xml:space="preserve">Absent lung sliding — teaching points</t>
  </si>
  <si>
    <t xml:space="preserve">Absent sliding fits a pneumothorax but is not specific: apnoea, mainstem intubation, pleurodesis and adhesions also stop it. · Look for a lung point to confirm, and for B-lines or a lung pulse to exclude. · In a crashing patient with absent sliding and a tension picture, decompress — do not wait for a lung point.</t>
  </si>
  <si>
    <t xml:space="preserve">lus-absent-sliding-gillman:quiz</t>
  </si>
  <si>
    <t xml:space="preserve">Absent lung sliding — question</t>
  </si>
  <si>
    <t xml:space="preserve">Absent sliding with A-lines and no B-lines means… Answer: A pneumothorax is likely — look for a lung point. Explanation: This pattern is suggestive, not proof. The lung point is the specific sign; B-lines or a lung pulse exclude a pneumothorax at that spot.</t>
  </si>
  <si>
    <t xml:space="preserve">lus-absent-sliding-gillman:marks</t>
  </si>
  <si>
    <t xml:space="preserve">Absent lung sliding — overlay labels (check placement in the app)</t>
  </si>
  <si>
    <t xml:space="preserve">landmark: Pleural line · landmark: Rib shadow · landmark: Rib shadow · pathology: Still — no sliding</t>
  </si>
  <si>
    <t xml:space="preserve">ivc-collapse-gillman:caption</t>
  </si>
  <si>
    <t xml:space="preserve">IVC collapsing with each breath — caption</t>
  </si>
  <si>
    <t xml:space="preserve">Subxiphoid scan through the liver. The IVC is the dark band crossing the middle of the screen; it narrows almost to nothing with each breath in and reopens on breathing out.</t>
  </si>
  <si>
    <t xml:space="preserve">Gillman L, Ball C, Panebianco N, Al-Kadi A, Kirkpatrick A. “Clinician performed resuscitative ultrasonography for the initial evaluation and resuscitation of trauma”, Scandinavian Journal of Trauma, Resuscitation and Emergency Medicine 17:34 (2009), https://doi.org/10.1186/1757-7241-17-34 — supplementary video S8 (“Ultrasound Assessment of Volume Status”), via Wikimedia Commons https://commons.wikimedia.org/wiki/File:Clinician-performed-resuscitative-ultrasonography-for-the-initial-evaluation-and-resuscitation-of-1757-7241-17-34-S8.ogv. CC BY 2.0</t>
  </si>
  <si>
    <t xml:space="preserve">ivc-collapse-gillman:look</t>
  </si>
  <si>
    <t xml:space="preserve">IVC collapsing with each breath — look for</t>
  </si>
  <si>
    <t xml:space="preserve">The IVC passing through the liver · Near-complete collapse on inspiration · Re-expansion on expiration · Compare with the wide, fixed IVC of heart failure</t>
  </si>
  <si>
    <t xml:space="preserve">ivc-collapse-gillman:teach</t>
  </si>
  <si>
    <t xml:space="preserve">IVC collapsing with each breath — teaching points</t>
  </si>
  <si>
    <t xml:space="preserve">Collapse with spontaneous breaths fits a low right-atrial pressure, as in hypovolaemia. · It is not a reliable test of fluid responsiveness on its own, and the pattern reverses on positive-pressure ventilation. · Vigorous breathing can collapse a normal IVC; look at the whole patient.</t>
  </si>
  <si>
    <t xml:space="preserve">ivc-collapse-gillman:quiz</t>
  </si>
  <si>
    <t xml:space="preserve">IVC collapsing with each breath — question</t>
  </si>
  <si>
    <t xml:space="preserve">A small IVC that collapses completely on inspiration most directly suggests… Answer: Low right-atrial pressure. Explanation: A small, collapsing IVC fits a low right-atrial pressure. Tamponade, RV failure and overload all give a wide, fixed IVC.</t>
  </si>
  <si>
    <t xml:space="preserve">ivc-collapse-gillman:marks</t>
  </si>
  <si>
    <t xml:space="preserve">IVC collapsing with each breath — overlay labels (check placement in the app)</t>
  </si>
  <si>
    <t xml:space="preserve">landmark: Liver · landmark: IVC (open on expiration)</t>
  </si>
  <si>
    <t xml:space="preserve">pleural-fluid-gillman:caption</t>
  </si>
  <si>
    <t xml:space="preserve">Real media › pleuraleff</t>
  </si>
  <si>
    <t xml:space="preserve">Large pleural effusion — caption</t>
  </si>
  <si>
    <t xml:space="preserve">A resuscitative scan of a large pleural collection, as published. Look for the black, anechoic fluid and the tissue that moves within it with breathing. (No overlays: the published caption does not name the structures, so we have not guessed them.)</t>
  </si>
  <si>
    <t xml:space="preserve">Gillman L, Ball C, Panebianco N, Al-Kadi A, Kirkpatrick A. “Clinician performed resuscitative ultrasonography for the initial evaluation and resuscitation of trauma”, Scandinavian Journal of Trauma, Resuscitation and Emergency Medicine 17:34 (2009), https://doi.org/10.1186/1757-7241-17-34 — supplementary video S2 (“Pleural Fluid”), via Wikimedia Commons https://commons.wikimedia.org/wiki/File:Clinician-performed-resuscitative-ultrasonography-for-the-initial-evaluation-and-resuscitation-of-1757-7241-17-34-S2.ogv. CC BY 2.0</t>
  </si>
  <si>
    <t xml:space="preserve">pleural-fluid-gillman:look</t>
  </si>
  <si>
    <t xml:space="preserve">Large pleural effusion — look for</t>
  </si>
  <si>
    <t xml:space="preserve">The diaphragm and liver or spleen below · A black fluid space above the diaphragm · Collapsed lung moving within the fluid · The spine visible through the fluid</t>
  </si>
  <si>
    <t xml:space="preserve">pleural-fluid-gillman:teach</t>
  </si>
  <si>
    <t xml:space="preserve">Large pleural effusion — teaching points</t>
  </si>
  <si>
    <t xml:space="preserve">Fluid is anechoic; above the diaphragm it is pleural, below it is in the abdomen. · Normally air hides the spine above the diaphragm — seeing it there (the spine sign) means fluid. · In trauma, a haemothorax looks the same; clot can be grey.</t>
  </si>
  <si>
    <t xml:space="preserve">pleural-fluid-gillman:quiz</t>
  </si>
  <si>
    <t xml:space="preserve">Large pleural effusion — question</t>
  </si>
  <si>
    <t xml:space="preserve">Seeing the spine continue above the diaphragm means… Answer: Fluid in the pleural space. Explanation: Aerated lung scatters the beam and hides the spine. Fluid transmits sound, so the spine shows through it.</t>
  </si>
  <si>
    <t xml:space="preserve">tamponade-ginghina:caption</t>
  </si>
  <si>
    <t xml:space="preserve">Real media › tamponade</t>
  </si>
  <si>
    <t xml:space="preserve">Cardiac tamponade — right-heart collapse — caption</t>
  </si>
  <si>
    <t xml:space="preserve">Apical four-chamber echo in a patient with cardiac tamponade, as published: the free walls of the right atrium and right ventricle collapse intermittently. The clip is one short loop — watch it repeat. (No overlays: the loop is small and we have not guessed chamber positions.)</t>
  </si>
  <si>
    <t xml:space="preserve">Ginghina C, Beladan C, Iancu M, Calin A, Popescu B. “Respiratory maneuvers in echocardiography: a review of clinical applications”, Cardiovascular Ultrasound 7:42 (2009), https://doi.org/10.1186/1476-7120-7-42 — supplementary video 11, via Wikimedia Commons https://commons.wikimedia.org/wiki/File:Respiratory-maneuvers-in-echocardiography-a-review-of-clinical-applications-1476-7120-7-42-S11.ogv. CC BY 2.0</t>
  </si>
  <si>
    <t xml:space="preserve">tamponade-ginghina:look</t>
  </si>
  <si>
    <t xml:space="preserve">Cardiac tamponade — right-heart collapse — look for</t>
  </si>
  <si>
    <t xml:space="preserve">Black pericardial fluid around the heart · Right atrium and ventricle on the screen left · Their free walls buckling inward · The pattern repeating with every beat</t>
  </si>
  <si>
    <t xml:space="preserve">tamponade-ginghina:teach</t>
  </si>
  <si>
    <t xml:space="preserve">Cardiac tamponade — right-heart collapse — teaching points</t>
  </si>
  <si>
    <t xml:space="preserve">Tamponade is a clinical diagnosis supported by echo: hypotension, raised JVP and pulsus paradoxus with an effusion. · Right-atrial collapse in systole and right-ventricular collapse in diastole show the pericardial pressure exceeds right-heart pressure. · A plethoric IVC fits; treatment is drainage — fluids only buy time.</t>
  </si>
  <si>
    <t xml:space="preserve">tamponade-ginghina:quiz</t>
  </si>
  <si>
    <t xml:space="preserve">Cardiac tamponade — right-heart collapse — question</t>
  </si>
  <si>
    <t xml:space="preserve">Which echo sign shows the effusion is compressing the heart? Answer: Diastolic collapse of the right-heart free walls. Explanation: Right-heart chambers have the lowest pressure, so they collapse first when pericardial pressure rises. In tamponade the IVC is wide, not small.</t>
  </si>
  <si>
    <t xml:space="preserve">ptx-series-bonilla:caption</t>
  </si>
  <si>
    <t xml:space="preserve">Real media › ptxseries</t>
  </si>
  <si>
    <t xml:space="preserve">Pneumothorax — before and after a chest tube — caption</t>
  </si>
  <si>
    <t xml:space="preserve">Three rows from one patient (the “L” marker is on the image right, so the pneumothorax on the image left is the right lung). A: first episode — arrows on the lung edge — then the lung re-expanded with a pigtail catheter. B: recurrence and re-expansion. C: two weeks after the tubes came out.</t>
  </si>
  <si>
    <t xml:space="preserve">Alex Bonilla, Alexander J. Blair, Suliman M. Alamro, Rebecca A. Ward, Michael B. Feldman, Richard A. Dutko, Theodora K. Karagounis, Adam L. Johnson, Erik E. Folch &amp; Jatin M. Vyas. Bonilla A et al., Journal of Medical Case Reports 13 (2019), https://doi.org/10.1186/s13256-019-2215-4 — figure, via Wikimedia Commons https://commons.wikimedia.org/wiki/File:Chest_X-ray_of_pneumothorax.png. CC BY 4.0</t>
  </si>
  <si>
    <t xml:space="preserve">ptx-series-bonilla:look</t>
  </si>
  <si>
    <t xml:space="preserve">Pneumothorax — before and after a chest tube — look for</t>
  </si>
  <si>
    <t xml:space="preserve">The arrowed lung edge on the first film · Lung re-expanding with the pigtail in place · The tube tip in the pleural space · The final film with markings to the edge</t>
  </si>
  <si>
    <t xml:space="preserve">ptx-series-bonilla:teach</t>
  </si>
  <si>
    <t xml:space="preserve">Pneumothorax — before and after a chest tube — teaching points</t>
  </si>
  <si>
    <t xml:space="preserve">A small-bore pigtail catheter is enough for most spontaneous pneumothoraces. · Re-expansion is judged by lung markings returning to the chest wall. · Recurrence is common; surgery or pleurodesis is considered after a second episode.</t>
  </si>
  <si>
    <t xml:space="preserve">ptx-series-bonilla:quiz</t>
  </si>
  <si>
    <t xml:space="preserve">Pneumothorax — before and after a chest tube — question</t>
  </si>
  <si>
    <t xml:space="preserve">How do you know the lung has re-expanded? Answer: Lung markings reach the chest wall again. Explanation: The pneumothorax is the markingless space between lung edge and chest wall; when markings reach the wall again, the lung is up.</t>
  </si>
  <si>
    <t xml:space="preserve">ptx-series-bonilla:marks</t>
  </si>
  <si>
    <t xml:space="preserve">Pneumothorax — before and after a chest tube — overlay labels (check placement in the app)</t>
  </si>
  <si>
    <t xml:space="preserve">landmark: Initial film · landmark: With pigtail drain · landmark: Recurrence · landmark: With drain · landmark: Two weeks later · pathology: Lung edge · pathology: Lung edge · pathology: Lung edge · pathology: Lung edge</t>
  </si>
  <si>
    <t xml:space="preserve">lus-sliding-gillman2012:caption</t>
  </si>
  <si>
    <t xml:space="preserve">Normal lung sliding — caption</t>
  </si>
  <si>
    <t xml:space="preserve">Linear-probe scan at the right lung apex (the authors’ on-screen note reads “R apex batwing sign”). The bright pleural line runs across the middle of the screen and shimmers back and forth with each breath — normal lung sliding.</t>
  </si>
  <si>
    <t xml:space="preserve">Gillman L, Kirkpatrick A. “Portable bedside ultrasound: the visual stethoscope of the 21st century”, Scandinavian Journal of Trauma, Resuscitation and Emergency Medicine 20:18 (2012), https://doi.org/10.1186/1757-7241-20-18 — supplementary video S1 (“Normal Lung Sliding”), via Wikimedia Commons https://commons.wikimedia.org/wiki/File:Portable-bedside-ultrasound-the-visual-stethoscope-of-the-21st-century-1757-7241-20-18-S1.ogv. CC BY 2.0</t>
  </si>
  <si>
    <t xml:space="preserve">lus-sliding-gillman2012:look</t>
  </si>
  <si>
    <t xml:space="preserve">Normal lung sliding — look for</t>
  </si>
  <si>
    <t xml:space="preserve">Two rib shadows — the “bat sign” · The pleural line just below the ribs · Shimmering movement along the pleural line · A-lines below it in aerated lung</t>
  </si>
  <si>
    <t xml:space="preserve">lus-sliding-gillman2012:teach</t>
  </si>
  <si>
    <t xml:space="preserve">Normal lung sliding — teaching points</t>
  </si>
  <si>
    <t xml:space="preserve">Sliding means the two pleural layers are touching at that spot — a pneumothorax is ruled out under the probe. · Check the front of the chest first when supine: that is where pleural air rises. · Sliding can be absent without a pneumothorax (apnoea, mainstem intubation, pleurodesis, adhesions).</t>
  </si>
  <si>
    <t xml:space="preserve">lus-sliding-gillman2012:quiz</t>
  </si>
  <si>
    <t xml:space="preserve">Normal lung sliding — question</t>
  </si>
  <si>
    <t xml:space="preserve">What does visible lung sliding under the probe tell you? Answer: No pneumothorax at this spot. Explanation: Sliding needs the visceral pleura to move against the parietal pleura, so they must be in contact there. It says nothing about effusions elsewhere or about ventilation being adequate.</t>
  </si>
  <si>
    <t xml:space="preserve">lus-sliding-gillman2012:marks</t>
  </si>
  <si>
    <t xml:space="preserve">Normal lung sliding — overlay labels (check placement in the app)</t>
  </si>
  <si>
    <t xml:space="preserve">landmark: Chest wall · landmark: Pleural line — watch it shimmer</t>
  </si>
  <si>
    <t xml:space="preserve">label:AAA — abdominal aortic aneurysm</t>
  </si>
  <si>
    <t xml:space="preserve">3D labels › abdomen</t>
  </si>
  <si>
    <t xml:space="preserve">AAA — abdominal aortic aneurysm</t>
  </si>
  <si>
    <t xml:space="preserve">Abdominal aortic aneurysm — the aorta wider than 3 cm. Rupture risk rises sharply with size.</t>
  </si>
  <si>
    <t xml:space="preserve">label:ACoA</t>
  </si>
  <si>
    <t xml:space="preserve">3D labels › neuro</t>
  </si>
  <si>
    <t xml:space="preserve">ACoA</t>
  </si>
  <si>
    <t xml:space="preserve">Anterior communicating artery — joins the two anterior cerebral arteries; the commonest site of berry aneurysms.</t>
  </si>
  <si>
    <t xml:space="preserve">label:Aerated alveolus</t>
  </si>
  <si>
    <t xml:space="preserve">3D labels › vent</t>
  </si>
  <si>
    <t xml:space="preserve">Aerated alveolus</t>
  </si>
  <si>
    <t xml:space="preserve">An open, ventilated air sac taking part in gas exchange.</t>
  </si>
  <si>
    <t xml:space="preserve">label:Afferent arteriole (blood in)</t>
  </si>
  <si>
    <t xml:space="preserve">3D labels › labs</t>
  </si>
  <si>
    <t xml:space="preserve">Afferent arteriole (blood in)</t>
  </si>
  <si>
    <t xml:space="preserve">Brings blood into the glomerulus; it constricts or dilates to hold filtration steady.</t>
  </si>
  <si>
    <t xml:space="preserve">label:Alveolar duct</t>
  </si>
  <si>
    <t xml:space="preserve">3D labels › vent, abg</t>
  </si>
  <si>
    <t xml:space="preserve">Alveolar duct</t>
  </si>
  <si>
    <t xml:space="preserve">Small airway leading into a cluster of alveoli.</t>
  </si>
  <si>
    <t xml:space="preserve">label:Alveolar gas</t>
  </si>
  <si>
    <t xml:space="preserve">Alveolar gas</t>
  </si>
  <si>
    <t xml:space="preserve">The gas in the air sacs, where oxygen and carbon dioxide exchange with capillary blood.</t>
  </si>
  <si>
    <t xml:space="preserve">label:Anterior tibial → dorsalis pedis</t>
  </si>
  <si>
    <t xml:space="preserve">3D labels › lines</t>
  </si>
  <si>
    <t xml:space="preserve">Anterior tibial → dorsalis pedis</t>
  </si>
  <si>
    <t xml:space="preserve">Runs down the front of the leg to the top of the foot, where the dorsalis pedis pulse is felt.</t>
  </si>
  <si>
    <t xml:space="preserve">label:Aorta</t>
  </si>
  <si>
    <t xml:space="preserve">3D labels › lines, heart, abdomen</t>
  </si>
  <si>
    <t xml:space="preserve">Aorta</t>
  </si>
  <si>
    <t xml:space="preserve">The main artery leaving the left ventricle. Arterial lines and blood pressure measure the pressure in its branches.</t>
  </si>
  <si>
    <t xml:space="preserve">label:Aquaporin</t>
  </si>
  <si>
    <t xml:space="preserve">Aquaporin</t>
  </si>
  <si>
    <t xml:space="preserve">Aquaporin-4 water channel. Lets water cross in seconds. Water always moves toward the side with more dissolved particles.</t>
  </si>
  <si>
    <t xml:space="preserve">label:Arterial cannula</t>
  </si>
  <si>
    <t xml:space="preserve">Arterial cannula</t>
  </si>
  <si>
    <t xml:space="preserve">A 20-gauge cannula in the radial artery. Its trace is only as good as its patency, flush and zeroing.</t>
  </si>
  <si>
    <t xml:space="preserve">label:Arterial end</t>
  </si>
  <si>
    <t xml:space="preserve">Arterial end</t>
  </si>
  <si>
    <t xml:space="preserve">Blood enters the capillary oxygen-rich at arterial pressure.</t>
  </si>
  <si>
    <t xml:space="preserve">label:Arteriole — an ABG samples this blood</t>
  </si>
  <si>
    <t xml:space="preserve">3D labels › abg</t>
  </si>
  <si>
    <t xml:space="preserve">Arteriole — an ABG samples this blood</t>
  </si>
  <si>
    <t xml:space="preserve">Arterial blood: an arterial blood gas measures the oxygen, CO₂ and acid–base status delivered to the tissues.</t>
  </si>
  <si>
    <t xml:space="preserve">label:Arteriole (from RV)</t>
  </si>
  <si>
    <t xml:space="preserve">Arteriole (from RV)</t>
  </si>
  <si>
    <t xml:space="preserve">Pulmonary arteriole bringing deoxygenated blood from the right ventricle to the capillaries.</t>
  </si>
  <si>
    <t xml:space="preserve">label:ASD — atrial septal defect</t>
  </si>
  <si>
    <t xml:space="preserve">3D labels › heart</t>
  </si>
  <si>
    <t xml:space="preserve">ASD — atrial septal defect</t>
  </si>
  <si>
    <t xml:space="preserve">Atrial septal defect — a hole between the atria. Usually a left-to-right shunt that loads the right heart.</t>
  </si>
  <si>
    <t xml:space="preserve">label:Axon</t>
  </si>
  <si>
    <t xml:space="preserve">Axon</t>
  </si>
  <si>
    <t xml:space="preserve">Carries the nerve impulse away from the cell body.</t>
  </si>
  <si>
    <t xml:space="preserve">label:Axon hillock</t>
  </si>
  <si>
    <t xml:space="preserve">Axon hillock</t>
  </si>
  <si>
    <t xml:space="preserve">Where the axon leaves the cell body; signals are summed here.</t>
  </si>
  <si>
    <t xml:space="preserve">label:Basement membrane</t>
  </si>
  <si>
    <t xml:space="preserve">Basement membrane</t>
  </si>
  <si>
    <t xml:space="preserve">Shared support layer between the alveolar and capillary cells.</t>
  </si>
  <si>
    <t xml:space="preserve">label:Basilar</t>
  </si>
  <si>
    <t xml:space="preserve">Basilar</t>
  </si>
  <si>
    <t xml:space="preserve">Basilar artery — formed by the two vertebral arteries; it supplies the brainstem and back of the brain.</t>
  </si>
  <si>
    <t xml:space="preserve">label:Basilic vein</t>
  </si>
  <si>
    <t xml:space="preserve">Basilic vein</t>
  </si>
  <si>
    <t xml:space="preserve">Superficial vein on the inner side of the arm; a common PICC route.</t>
  </si>
  <si>
    <t xml:space="preserve">label:Bile canaliculus</t>
  </si>
  <si>
    <t xml:space="preserve">Bile canaliculus</t>
  </si>
  <si>
    <t xml:space="preserve">Tiny channel between liver cells carrying bile toward the bile ducts.</t>
  </si>
  <si>
    <t xml:space="preserve">label:Bladder</t>
  </si>
  <si>
    <t xml:space="preserve">Bladder</t>
  </si>
  <si>
    <t xml:space="preserve">In the pelvis. A full bladder is a good window for seeing pelvic free fluid on ultrasound.</t>
  </si>
  <si>
    <t xml:space="preserve">label:Blood around the cells</t>
  </si>
  <si>
    <t xml:space="preserve">Blood around the cells</t>
  </si>
  <si>
    <t xml:space="preserve">Capillary blood bringing oxygen and carrying released markers away.</t>
  </si>
  <si>
    <t xml:space="preserve">label:Blood escaping</t>
  </si>
  <si>
    <t xml:space="preserve">Blood escaping</t>
  </si>
  <si>
    <t xml:space="preserve">Bleeding continues until the plug and fibrin seal the vessel.</t>
  </si>
  <si>
    <t xml:space="preserve">label:Bone marrow</t>
  </si>
  <si>
    <t xml:space="preserve">Bone marrow</t>
  </si>
  <si>
    <t xml:space="preserve">Makes red cells, white cells and platelets; counts fall when it is suppressed or replaced.</t>
  </si>
  <si>
    <t xml:space="preserve">label:Bowman’s capsule</t>
  </si>
  <si>
    <t xml:space="preserve">Bowman’s capsule</t>
  </si>
  <si>
    <t xml:space="preserve">The cup around the glomerulus that collects the filtrate.</t>
  </si>
  <si>
    <t xml:space="preserve">label:Brachial artery</t>
  </si>
  <si>
    <t xml:space="preserve">Brachial artery</t>
  </si>
  <si>
    <t xml:space="preserve">Main arm artery at the elbow crease; used for manual blood-pressure measurement.</t>
  </si>
  <si>
    <t xml:space="preserve">label:Brachial vein</t>
  </si>
  <si>
    <t xml:space="preserve">Brachial vein</t>
  </si>
  <si>
    <t xml:space="preserve">Deep vein paired with the brachial artery.</t>
  </si>
  <si>
    <t xml:space="preserve">label:Brain</t>
  </si>
  <si>
    <t xml:space="preserve">Brain</t>
  </si>
  <si>
    <t xml:space="preserve">Uses about a fifth of the body’s oxygen and has no fuel stores, so it depends on steady flow and glucose.</t>
  </si>
  <si>
    <t xml:space="preserve">label:Branch to a neighbouring cell</t>
  </si>
  <si>
    <t xml:space="preserve">Branch to a neighbouring cell</t>
  </si>
  <si>
    <t xml:space="preserve">Junction to a neighbouring cell.</t>
  </si>
  <si>
    <t xml:space="preserve">label:Ca²⁺ channel</t>
  </si>
  <si>
    <t xml:space="preserve">Ca²⁺ channel</t>
  </si>
  <si>
    <t xml:space="preserve">L-type Ca²⁺ channel. Opens during each beat; the Ca²⁺ that enters triggers contraction.</t>
  </si>
  <si>
    <t xml:space="preserve">label:Capillary: RBCs load O₂ in the first third of their transit</t>
  </si>
  <si>
    <t xml:space="preserve">Capillary: RBCs load O₂ in the first third of their transit</t>
  </si>
  <si>
    <t xml:space="preserve">Red cells normally finish loading oxygen early in the capillary, leaving reserve time for exercise or thickened membranes.</t>
  </si>
  <si>
    <t xml:space="preserve">label:Cardiac muscle cells</t>
  </si>
  <si>
    <t xml:space="preserve">Cardiac muscle cells</t>
  </si>
  <si>
    <t xml:space="preserve">Heart muscle cells, joined end to end so the beat spreads as one.</t>
  </si>
  <si>
    <t xml:space="preserve">label:Celiac trunk / SMA</t>
  </si>
  <si>
    <t xml:space="preserve">Celiac trunk / SMA</t>
  </si>
  <si>
    <t xml:space="preserve">The first two gut branches of the abdominal aorta: celiac (stomach, liver, spleen) and superior mesenteric (small bowel, right colon).</t>
  </si>
  <si>
    <t xml:space="preserve">label:Cell membrane</t>
  </si>
  <si>
    <t xml:space="preserve">Cell membrane</t>
  </si>
  <si>
    <t xml:space="preserve">A lipid bilayer that keeps ions apart; channels and pumps in it control what crosses.</t>
  </si>
  <si>
    <t xml:space="preserve">label:Central line (right IJ)</t>
  </si>
  <si>
    <t xml:space="preserve">Central line (right IJ)</t>
  </si>
  <si>
    <t xml:space="preserve">Central venous catheter in the right internal jugular vein, transduced to give the CVP trace on the monitor.</t>
  </si>
  <si>
    <t xml:space="preserve">label:Central line enters here</t>
  </si>
  <si>
    <t xml:space="preserve">Central line enters here</t>
  </si>
  <si>
    <t xml:space="preserve">Puncture site for the right internal jugular approach: the straightest route to the SVC and right atrium.</t>
  </si>
  <si>
    <t xml:space="preserve">label:Centrioles</t>
  </si>
  <si>
    <t xml:space="preserve">Centrioles</t>
  </si>
  <si>
    <t xml:space="preserve">Organises the spindle that separates chromosomes when the cell divides.</t>
  </si>
  <si>
    <t xml:space="preserve">label:Cephalic vein</t>
  </si>
  <si>
    <t xml:space="preserve">Cephalic vein</t>
  </si>
  <si>
    <t xml:space="preserve">Superficial vein on the outer (thumb) side of the arm.</t>
  </si>
  <si>
    <t xml:space="preserve">label:Cholesterol</t>
  </si>
  <si>
    <t xml:space="preserve">Cholesterol</t>
  </si>
  <si>
    <t xml:space="preserve">Sits among the lipids and stiffens the membrane.</t>
  </si>
  <si>
    <t xml:space="preserve">label:Clot at the catheter tip</t>
  </si>
  <si>
    <t xml:space="preserve">Clot at the catheter tip</t>
  </si>
  <si>
    <t xml:space="preserve">Clot at the cannula tip damps the trace: systolic falls, diastolic rises, and the dicrotic notch disappears. Aspirate and flush.</t>
  </si>
  <si>
    <t xml:space="preserve">label:Collapsed</t>
  </si>
  <si>
    <t xml:space="preserve">Collapsed</t>
  </si>
  <si>
    <t xml:space="preserve">Alveolus with no air (atelectasis): blood flowing past it is not oxygenated — shunt.</t>
  </si>
  <si>
    <t xml:space="preserve">label:Colon</t>
  </si>
  <si>
    <t xml:space="preserve">Colon</t>
  </si>
  <si>
    <t xml:space="preserve">Large bowel framing the abdomen; it can perforate or lose its blood supply.</t>
  </si>
  <si>
    <t xml:space="preserve">label:Common carotid artery</t>
  </si>
  <si>
    <t xml:space="preserve">Common carotid artery</t>
  </si>
  <si>
    <t xml:space="preserve">Main artery of the neck, medial and deep to the internal jugular vein; pulsatile and not compressible.</t>
  </si>
  <si>
    <t xml:space="preserve">label:Common iliac artery</t>
  </si>
  <si>
    <t xml:space="preserve">Common iliac artery</t>
  </si>
  <si>
    <t xml:space="preserve">One of the two branches the aorta splits into at the level of the umbilicus.</t>
  </si>
  <si>
    <t xml:space="preserve">label:Core and penumbra</t>
  </si>
  <si>
    <t xml:space="preserve">Core and penumbra</t>
  </si>
  <si>
    <t xml:space="preserve">Core: tissue already dead. Penumbra: tissue that is failing but salvageable if blood flow returns soon.</t>
  </si>
  <si>
    <t xml:space="preserve">label:CVC tip at the cavo-atrial junction</t>
  </si>
  <si>
    <t xml:space="preserve">CVC tip at the cavo-atrial junction</t>
  </si>
  <si>
    <t xml:space="preserve">Central line tip at the cavo-atrial junction (lower SVC). Here it reads true central venous pressure and is safe for vasopressors.</t>
  </si>
  <si>
    <t xml:space="preserve">label:CVC tip in the right ventricle</t>
  </si>
  <si>
    <t xml:space="preserve">CVC tip in the right ventricle</t>
  </si>
  <si>
    <t xml:space="preserve">The catheter has gone too far — into the right ventricle. Expect ectopics and a ventricular-shaped pressure trace; pull it back to the cavo-atrial junction.</t>
  </si>
  <si>
    <t xml:space="preserve">label:Cytosol</t>
  </si>
  <si>
    <t xml:space="preserve">Cytosol</t>
  </si>
  <si>
    <t xml:space="preserve">The fluid inside the cell: high potassium, low sodium and calcium.</t>
  </si>
  <si>
    <t xml:space="preserve">label:Deep femoral (profunda) artery</t>
  </si>
  <si>
    <t xml:space="preserve">Deep femoral (profunda) artery</t>
  </si>
  <si>
    <t xml:space="preserve">Deep branch of the femoral artery supplying the thigh.</t>
  </si>
  <si>
    <t xml:space="preserve">label:Dendrite</t>
  </si>
  <si>
    <t xml:space="preserve">Dendrite</t>
  </si>
  <si>
    <t xml:space="preserve">Receives signals from other nerve cells.</t>
  </si>
  <si>
    <t xml:space="preserve">label:Dendrites</t>
  </si>
  <si>
    <t xml:space="preserve">Dendrites</t>
  </si>
  <si>
    <t xml:space="preserve">Branches that receive signals from other nerve cells.</t>
  </si>
  <si>
    <t xml:space="preserve">label:Dendritic spines (synapses land here)</t>
  </si>
  <si>
    <t xml:space="preserve">Dendritic spines (synapses land here)</t>
  </si>
  <si>
    <t xml:space="preserve">Small knobs on dendrites where synapses land.</t>
  </si>
  <si>
    <t xml:space="preserve">label:Dependent lung</t>
  </si>
  <si>
    <t xml:space="preserve">Dependent lung</t>
  </si>
  <si>
    <t xml:space="preserve">The lowest lung regions (the back, when supine), where oedema and collapse concentrate under gravity.</t>
  </si>
  <si>
    <t xml:space="preserve">label:Diaphragm</t>
  </si>
  <si>
    <t xml:space="preserve">Diaphragm</t>
  </si>
  <si>
    <t xml:space="preserve">Dome-shaped muscle separating chest from abdomen; fluid is looked for just above and below it on ultrasound.</t>
  </si>
  <si>
    <t xml:space="preserve">label:Efferent arteriole (blood out)</t>
  </si>
  <si>
    <t xml:space="preserve">Efferent arteriole (blood out)</t>
  </si>
  <si>
    <t xml:space="preserve">Carries blood out of the glomerulus; its tone helps set filtration pressure.</t>
  </si>
  <si>
    <t xml:space="preserve">label:Endothelium (vessel wall)</t>
  </si>
  <si>
    <t xml:space="preserve">3D labels › labs, vent</t>
  </si>
  <si>
    <t xml:space="preserve">Endothelium (vessel wall)</t>
  </si>
  <si>
    <t xml:space="preserve">The single cell layer lining blood vessels; it controls leak, tone and clotting.</t>
  </si>
  <si>
    <t xml:space="preserve">label:External carotid → superficial temporal</t>
  </si>
  <si>
    <t xml:space="preserve">External carotid → superficial temporal</t>
  </si>
  <si>
    <t xml:space="preserve">Supplies the face and scalp; its terminal branch, the superficial temporal, is felt in front of the ear.</t>
  </si>
  <si>
    <t xml:space="preserve">label:External iliac artery</t>
  </si>
  <si>
    <t xml:space="preserve">External iliac artery</t>
  </si>
  <si>
    <t xml:space="preserve">Continues from the common iliac into the leg as the femoral artery.</t>
  </si>
  <si>
    <t xml:space="preserve">label:External jugular vein</t>
  </si>
  <si>
    <t xml:space="preserve">External jugular vein</t>
  </si>
  <si>
    <t xml:space="preserve">Superficial neck vein crossing the sternocleidomastoid; its filling is a rough bedside sign of venous pressure.</t>
  </si>
  <si>
    <t xml:space="preserve">label:Extracellular fluid</t>
  </si>
  <si>
    <t xml:space="preserve">Extracellular fluid</t>
  </si>
  <si>
    <t xml:space="preserve">The fluid outside cells (plasma and interstitial fluid): high sodium and chloride, low potassium.</t>
  </si>
  <si>
    <t xml:space="preserve">label:Facial artery</t>
  </si>
  <si>
    <t xml:space="preserve">Facial artery</t>
  </si>
  <si>
    <t xml:space="preserve">Branch of the external carotid crossing the jaw in front of the masseter.</t>
  </si>
  <si>
    <t xml:space="preserve">label:Facial vein</t>
  </si>
  <si>
    <t xml:space="preserve">Facial vein</t>
  </si>
  <si>
    <t xml:space="preserve">Drains the face into the internal jugular vein.</t>
  </si>
  <si>
    <t xml:space="preserve">label:Fatty-acid tails · oily core</t>
  </si>
  <si>
    <t xml:space="preserve">Fatty-acid tails · oily core</t>
  </si>
  <si>
    <t xml:space="preserve">The oily middle of the bilayer that ions cannot cross without a channel or pump.</t>
  </si>
  <si>
    <t xml:space="preserve">label:Femoral → popliteal vein</t>
  </si>
  <si>
    <t xml:space="preserve">Femoral → popliteal vein</t>
  </si>
  <si>
    <t xml:space="preserve">The deep vein of the thigh, continuing behind the knee as the popliteal vein; a common site for DVT.</t>
  </si>
  <si>
    <t xml:space="preserve">label:Femoral artery</t>
  </si>
  <si>
    <t xml:space="preserve">Femoral artery</t>
  </si>
  <si>
    <t xml:space="preserve">Main leg artery in the groin; an alternative arterial-line site and a pulse to feel in shock.</t>
  </si>
  <si>
    <t xml:space="preserve">label:Femoral vein</t>
  </si>
  <si>
    <t xml:space="preserve">Femoral vein</t>
  </si>
  <si>
    <t xml:space="preserve">Large vein in the groin, medial to the femoral artery; a quick central-access site in emergencies.</t>
  </si>
  <si>
    <t xml:space="preserve">label:Fibrin mesh</t>
  </si>
  <si>
    <t xml:space="preserve">Fibrin mesh</t>
  </si>
  <si>
    <t xml:space="preserve">Fibrin strands from the clotting cascade bind the plug into a firm clot.</t>
  </si>
  <si>
    <t xml:space="preserve">label:Flooded</t>
  </si>
  <si>
    <t xml:space="preserve">Flooded</t>
  </si>
  <si>
    <t xml:space="preserve">Alveolus filled with fluid (oedema or pus): no gas exchange, a shunt that extra oxygen barely helps.</t>
  </si>
  <si>
    <t xml:space="preserve">label:Free air</t>
  </si>
  <si>
    <t xml:space="preserve">Free air</t>
  </si>
  <si>
    <t xml:space="preserve">Gas outside the bowel, under the diaphragm — a sign of perforation needing surgery.</t>
  </si>
  <si>
    <t xml:space="preserve">label:Free ribosomes</t>
  </si>
  <si>
    <t xml:space="preserve">Free ribosomes</t>
  </si>
  <si>
    <t xml:space="preserve">Free ribosomes make proteins that stay inside the cell.</t>
  </si>
  <si>
    <t xml:space="preserve">label:Glomerulus (capillary loops)</t>
  </si>
  <si>
    <t xml:space="preserve">Glomerulus (capillary loops)</t>
  </si>
  <si>
    <t xml:space="preserve">A knot of capillaries where plasma is filtered into the tubule.</t>
  </si>
  <si>
    <t xml:space="preserve">label:Glycocalyx</t>
  </si>
  <si>
    <t xml:space="preserve">Glycocalyx</t>
  </si>
  <si>
    <t xml:space="preserve">A sugar coat on the outer surface; in vessels it helps keep fluid inside the circulation.</t>
  </si>
  <si>
    <t xml:space="preserve">label:Glycogen granules</t>
  </si>
  <si>
    <t xml:space="preserve">Glycogen granules</t>
  </si>
  <si>
    <t xml:space="preserve">Stored glucose, released when the cell needs fuel quickly.</t>
  </si>
  <si>
    <t xml:space="preserve">label:Golgi apparatus</t>
  </si>
  <si>
    <t xml:space="preserve">Golgi apparatus</t>
  </si>
  <si>
    <t xml:space="preserve">Sorts, finishes and ships proteins made in the ER.</t>
  </si>
  <si>
    <t xml:space="preserve">label:Great saphenous vein</t>
  </si>
  <si>
    <t xml:space="preserve">Great saphenous vein</t>
  </si>
  <si>
    <t xml:space="preserve">Long superficial vein on the inner leg, from the ankle to the groin.</t>
  </si>
  <si>
    <t xml:space="preserve">label:Heart</t>
  </si>
  <si>
    <t xml:space="preserve">Heart</t>
  </si>
  <si>
    <t xml:space="preserve">Injured heart muscle releases troponin; a stretched heart releases natriuretic peptides.</t>
  </si>
  <si>
    <t xml:space="preserve">label:Hepatocytes (liver cells)</t>
  </si>
  <si>
    <t xml:space="preserve">Hepatocytes (liver cells)</t>
  </si>
  <si>
    <t xml:space="preserve">Liver cells that make proteins and clotting factors, process drugs and store glycogen.</t>
  </si>
  <si>
    <t xml:space="preserve">label:Iliac veins</t>
  </si>
  <si>
    <t xml:space="preserve">Iliac veins</t>
  </si>
  <si>
    <t xml:space="preserve">Drain the legs and pelvis into the inferior vena cava.</t>
  </si>
  <si>
    <t xml:space="preserve">label:Inferior vena cava</t>
  </si>
  <si>
    <t xml:space="preserve">Inferior vena cava</t>
  </si>
  <si>
    <t xml:space="preserve">Drains the legs and abdomen into the right atrium. On ultrasound its size and change with breathing reflect right-atrial pressure.</t>
  </si>
  <si>
    <t xml:space="preserve">label:Initial segment (spike starts here)</t>
  </si>
  <si>
    <t xml:space="preserve">Initial segment (spike starts here)</t>
  </si>
  <si>
    <t xml:space="preserve">Axon initial segment — packed with sodium channels; the action potential starts here.</t>
  </si>
  <si>
    <t xml:space="preserve">label:Injured cells leak AST/ALT</t>
  </si>
  <si>
    <t xml:space="preserve">Injured cells leak AST/ALT</t>
  </si>
  <si>
    <t xml:space="preserve">Damaged liver cells release their enzymes (AST, ALT) into the blood.</t>
  </si>
  <si>
    <t xml:space="preserve">label:Inner leaflet (PE, PS⁻)</t>
  </si>
  <si>
    <t xml:space="preserve">Inner leaflet (PE, PS⁻)</t>
  </si>
  <si>
    <t xml:space="preserve">The inner lipid layer, rich in negatively charged phosphatidylserine.</t>
  </si>
  <si>
    <t xml:space="preserve">label:Intercalated disc → next heart cell</t>
  </si>
  <si>
    <t xml:space="preserve">Intercalated disc → next heart cell</t>
  </si>
  <si>
    <t xml:space="preserve">Intercalated disc — junctions that link heart cells mechanically and electrically.</t>
  </si>
  <si>
    <t xml:space="preserve">label:Internal carotid artery</t>
  </si>
  <si>
    <t xml:space="preserve">Internal carotid artery</t>
  </si>
  <si>
    <t xml:space="preserve">Branch of the common carotid that supplies most of the brain hemisphere.</t>
  </si>
  <si>
    <t xml:space="preserve">label:Internal iliac artery</t>
  </si>
  <si>
    <t xml:space="preserve">Internal iliac artery</t>
  </si>
  <si>
    <t xml:space="preserve">Supplies the pelvic organs; a source of bleeding in pelvic fractures.</t>
  </si>
  <si>
    <t xml:space="preserve">label:Internal jugular vein</t>
  </si>
  <si>
    <t xml:space="preserve">Internal jugular vein</t>
  </si>
  <si>
    <t xml:space="preserve">Drains the brain and face; lies beside the carotid artery and collapses with probe pressure.</t>
  </si>
  <si>
    <t xml:space="preserve">label:Interstitium</t>
  </si>
  <si>
    <t xml:space="preserve">Interstitium</t>
  </si>
  <si>
    <t xml:space="preserve">Space between alveolus and capillary. It swells with fluid in oedema and thickens in fibrosis, slowing gas diffusion.</t>
  </si>
  <si>
    <t xml:space="preserve">label:IVC</t>
  </si>
  <si>
    <t xml:space="preserve">IVC</t>
  </si>
  <si>
    <t xml:space="preserve">Inferior vena cava — carries blood from the lower body to the right atrium, just right of the aorta.</t>
  </si>
  <si>
    <t xml:space="preserve">label:K⁺ channel</t>
  </si>
  <si>
    <t xml:space="preserve">K⁺ channel</t>
  </si>
  <si>
    <t xml:space="preserve">K⁺ leak channel (Kir2.1). Open at rest. K⁺ leaks out down its gradient and takes positive charge with it — this sets the resting potential.</t>
  </si>
  <si>
    <t xml:space="preserve">label:Kidney</t>
  </si>
  <si>
    <t xml:space="preserve">Kidney</t>
  </si>
  <si>
    <t xml:space="preserve">Filters about 180 L of plasma a day; creatinine and urea rise when filtration falls.</t>
  </si>
  <si>
    <t xml:space="preserve">label:L kidney</t>
  </si>
  <si>
    <t xml:space="preserve">L kidney</t>
  </si>
  <si>
    <t xml:space="preserve">Left kidney — retroperitoneal, behind the spleen and bowel.</t>
  </si>
  <si>
    <t xml:space="preserve">label:LA</t>
  </si>
  <si>
    <t xml:space="preserve">LA</t>
  </si>
  <si>
    <t xml:space="preserve">Left atrium — receives oxygenated blood from the four pulmonary veins and fills the left ventricle through the mitral valve.</t>
  </si>
  <si>
    <t xml:space="preserve">label:Left ventricle</t>
  </si>
  <si>
    <t xml:space="preserve">Left ventricle</t>
  </si>
  <si>
    <t xml:space="preserve">Thick-walled pump that generates systemic pressure and pushes blood into the aorta.</t>
  </si>
  <si>
    <t xml:space="preserve">label:Lining fluid</t>
  </si>
  <si>
    <t xml:space="preserve">Lining fluid</t>
  </si>
  <si>
    <t xml:space="preserve">Thin liquid layer on the alveolar surface. It thickens and floods in pulmonary oedema.</t>
  </si>
  <si>
    <t xml:space="preserve">label:Lipofuscin (aging pigment)</t>
  </si>
  <si>
    <t xml:space="preserve">Lipofuscin (aging pigment)</t>
  </si>
  <si>
    <t xml:space="preserve">Brownish wear-and-tear pigment that builds up in long-lived cells.</t>
  </si>
  <si>
    <t xml:space="preserve">label:Liver</t>
  </si>
  <si>
    <t xml:space="preserve">3D labels › abdomen, labs</t>
  </si>
  <si>
    <t xml:space="preserve">Liver</t>
  </si>
  <si>
    <t xml:space="preserve">Largest solid organ, under the right ribs. Makes clotting factors and albumin, clears lactate and drugs; a common source of bleeding in blunt trauma.</t>
  </si>
  <si>
    <t xml:space="preserve">label:Low V/Q</t>
  </si>
  <si>
    <t xml:space="preserve">Low V/Q</t>
  </si>
  <si>
    <t xml:space="preserve">Alveolus that gets less air than blood. Oxygen falls but improves with supplemental oxygen.</t>
  </si>
  <si>
    <t xml:space="preserve">label:LV</t>
  </si>
  <si>
    <t xml:space="preserve">LV</t>
  </si>
  <si>
    <t xml:space="preserve">Left ventricle — the high-pressure pump for the whole body; its wall is about three times thicker than the right ventricle’s.</t>
  </si>
  <si>
    <t xml:space="preserve">label:Lymphocyte</t>
  </si>
  <si>
    <t xml:space="preserve">Lymphocyte</t>
  </si>
  <si>
    <t xml:space="preserve">White cell of the adaptive immune system (T and B cells).</t>
  </si>
  <si>
    <t xml:space="preserve">label:Lysosome</t>
  </si>
  <si>
    <t xml:space="preserve">Lysosome</t>
  </si>
  <si>
    <t xml:space="preserve">Lysosome — breaks down worn-out parts and engulfed material.</t>
  </si>
  <si>
    <t xml:space="preserve">label:Median cubital vein</t>
  </si>
  <si>
    <t xml:space="preserve">Median cubital vein</t>
  </si>
  <si>
    <t xml:space="preserve">Links cephalic and basilic veins at the elbow — the usual venepuncture site.</t>
  </si>
  <si>
    <t xml:space="preserve">label:Microtubules (cytoskeleton)</t>
  </si>
  <si>
    <t xml:space="preserve">Microtubules (cytoskeleton)</t>
  </si>
  <si>
    <t xml:space="preserve">Microtubules — internal scaffolding and tracks for moving cargo.</t>
  </si>
  <si>
    <t xml:space="preserve">label:Mitochondria (~30 % of the cell)</t>
  </si>
  <si>
    <t xml:space="preserve">Mitochondria (~30 % of the cell)</t>
  </si>
  <si>
    <t xml:space="preserve">Mitochondria make ATP using oxygen. Heart cells are packed with them because they never rest.</t>
  </si>
  <si>
    <t xml:space="preserve">label:Mitochondria (make ATP)</t>
  </si>
  <si>
    <t xml:space="preserve">Mitochondria (make ATP)</t>
  </si>
  <si>
    <t xml:space="preserve">Make ATP from oxygen and fuel; without oxygen the cell falls back on inefficient glycolysis and makes lactate.</t>
  </si>
  <si>
    <t xml:space="preserve">label:Morison’s pouch</t>
  </si>
  <si>
    <t xml:space="preserve">Morison’s pouch</t>
  </si>
  <si>
    <t xml:space="preserve">The space between liver and right kidney — the lowest upper-abdominal space when supine, so free fluid collects here first.</t>
  </si>
  <si>
    <t xml:space="preserve">label:Mucus plug</t>
  </si>
  <si>
    <t xml:space="preserve">Mucus plug</t>
  </si>
  <si>
    <t xml:space="preserve">Mucus blocking a bronchus: the lung beyond it collapses and shunts blood, so oxygen falls.</t>
  </si>
  <si>
    <t xml:space="preserve">label:Myelin sheath (glial cell)</t>
  </si>
  <si>
    <t xml:space="preserve">Myelin sheath (glial cell)</t>
  </si>
  <si>
    <t xml:space="preserve">Insulating wrap from glial cells that speeds conduction.</t>
  </si>
  <si>
    <t xml:space="preserve">label:Myofibrils (sarcomeres)</t>
  </si>
  <si>
    <t xml:space="preserve">Myofibrils (sarcomeres)</t>
  </si>
  <si>
    <t xml:space="preserve">Bundles of sarcomeres — the contractile machinery of a muscle cell.</t>
  </si>
  <si>
    <t xml:space="preserve">label:Na⁺ channel</t>
  </si>
  <si>
    <t xml:space="preserve">Na⁺ channel</t>
  </si>
  <si>
    <t xml:space="preserve">Voltage-gated Na⁺ channel (Nav1.5). Opens at threshold to fire the cell. If the resting potential drifts up, its inactivation gate shuts and stays shut.</t>
  </si>
  <si>
    <t xml:space="preserve">label:Na⁺/K⁺ pump</t>
  </si>
  <si>
    <t xml:space="preserve">Na⁺/K⁺ pump</t>
  </si>
  <si>
    <t xml:space="preserve">Na⁺/K⁺-ATPase (sodium–potassium pump). Uses one ATP to push 3 Na⁺ out and bring 2 K⁺ in. Sped up by insulin and β₂-agonists; needs Mg²⁺.</t>
  </si>
  <si>
    <t xml:space="preserve">label:Na⁺/K⁺ pumps (in the membrane)</t>
  </si>
  <si>
    <t xml:space="preserve">Na⁺/K⁺ pumps (in the membrane)</t>
  </si>
  <si>
    <t xml:space="preserve">Use ATP to keep sodium out and potassium in, maintaining the resting potential and cell volume.</t>
  </si>
  <si>
    <t xml:space="preserve">label:Neurofilaments &amp; microtubules</t>
  </si>
  <si>
    <t xml:space="preserve">Neurofilaments &amp; microtubules</t>
  </si>
  <si>
    <t xml:space="preserve">Neurofilaments and microtubules — the axon’s skeleton and transport tracks.</t>
  </si>
  <si>
    <t xml:space="preserve">label:Neuron cell body</t>
  </si>
  <si>
    <t xml:space="preserve">Neuron cell body</t>
  </si>
  <si>
    <t xml:space="preserve">The part of a nerve cell containing the nucleus.</t>
  </si>
  <si>
    <t xml:space="preserve">label:Neutrophil (white cell)</t>
  </si>
  <si>
    <t xml:space="preserve">Neutrophil (white cell)</t>
  </si>
  <si>
    <t xml:space="preserve">The commonest white cell; first to arrive at infection and injury.</t>
  </si>
  <si>
    <t xml:space="preserve">label:Nissl bodies (rough ER)</t>
  </si>
  <si>
    <t xml:space="preserve">Nissl bodies (rough ER)</t>
  </si>
  <si>
    <t xml:space="preserve">Nissl bodies — stacks of rough ER that make a neuron’s proteins.</t>
  </si>
  <si>
    <t xml:space="preserve">label:Node of Ranvier</t>
  </si>
  <si>
    <t xml:space="preserve">Node of Ranvier</t>
  </si>
  <si>
    <t xml:space="preserve">Node of Ranvier — a gap in the myelin where the impulse is regenerated.</t>
  </si>
  <si>
    <t xml:space="preserve">label:Nuclear envelope &amp; pores</t>
  </si>
  <si>
    <t xml:space="preserve">Nuclear envelope &amp; pores</t>
  </si>
  <si>
    <t xml:space="preserve">Double membrane around the nucleus; its pores let RNA and proteins in and out.</t>
  </si>
  <si>
    <t xml:space="preserve">label:Nucleolus</t>
  </si>
  <si>
    <t xml:space="preserve">Nucleolus</t>
  </si>
  <si>
    <t xml:space="preserve">Inside the nucleus; builds ribosomes.</t>
  </si>
  <si>
    <t xml:space="preserve">label:Nucleus</t>
  </si>
  <si>
    <t xml:space="preserve">Nucleus</t>
  </si>
  <si>
    <t xml:space="preserve">Holds the cell’s DNA and controls which proteins are made.</t>
  </si>
  <si>
    <t xml:space="preserve">label:O₂ leaving for the tissue</t>
  </si>
  <si>
    <t xml:space="preserve">O₂ leaving for the tissue</t>
  </si>
  <si>
    <t xml:space="preserve">Oxygen unloads from haemoglobin where tissue oxygen levels are low.</t>
  </si>
  <si>
    <t xml:space="preserve">label:Osmolyte channel</t>
  </si>
  <si>
    <t xml:space="preserve">Osmolyte channel</t>
  </si>
  <si>
    <t xml:space="preserve">Osmolyte channel (VRAC). Over ~48 h brain cells shed (or rebuild) organic osmolytes so their volume returns to normal.</t>
  </si>
  <si>
    <t xml:space="preserve">label:Outside the cell</t>
  </si>
  <si>
    <t xml:space="preserve">Outside the cell</t>
  </si>
  <si>
    <t xml:space="preserve">Extracellular fluid — high in sodium and chloride, low in potassium.</t>
  </si>
  <si>
    <t xml:space="preserve">label:Pancreas</t>
  </si>
  <si>
    <t xml:space="preserve">Pancreas</t>
  </si>
  <si>
    <t xml:space="preserve">Lies behind the stomach across the spine. Inflamed in pancreatitis, it can leak fluid into the retroperitoneum.</t>
  </si>
  <si>
    <t xml:space="preserve">label:PDA — patent ductus arteriosus</t>
  </si>
  <si>
    <t xml:space="preserve">PDA — patent ductus arteriosus</t>
  </si>
  <si>
    <t xml:space="preserve">Patent ductus arteriosus — the fetal channel between the pulmonary artery and aorta that normally closes after birth.</t>
  </si>
  <si>
    <t xml:space="preserve">label:Pelvic fluid</t>
  </si>
  <si>
    <t xml:space="preserve">Pelvic fluid</t>
  </si>
  <si>
    <t xml:space="preserve">Free fluid behind the bladder (or uterus) — the lowest part of the peritoneal cavity.</t>
  </si>
  <si>
    <t xml:space="preserve">label:Peroxisome</t>
  </si>
  <si>
    <t xml:space="preserve">Peroxisome</t>
  </si>
  <si>
    <t xml:space="preserve">Peroxisome — breaks down fatty acids and toxic peroxides.</t>
  </si>
  <si>
    <t xml:space="preserve">label:PFO — patent foramen ovale</t>
  </si>
  <si>
    <t xml:space="preserve">PFO — patent foramen ovale</t>
  </si>
  <si>
    <t xml:space="preserve">Patent foramen ovale — a flap-valve between the atria left over from fetal life. It opens right-to-left when right-atrial pressure exceeds left (e.g. high PEEP, PE).</t>
  </si>
  <si>
    <t xml:space="preserve">label:Phlebostatic axis</t>
  </si>
  <si>
    <t xml:space="preserve">Phlebostatic axis</t>
  </si>
  <si>
    <t xml:space="preserve">Fourth intercostal space, mid-axillary line — the level of the right atrium. Transducers are levelled here.</t>
  </si>
  <si>
    <t xml:space="preserve">label:Phospholipid heads</t>
  </si>
  <si>
    <t xml:space="preserve">Phospholipid heads</t>
  </si>
  <si>
    <t xml:space="preserve">Water-loving heads facing the fluid on each side of the membrane.</t>
  </si>
  <si>
    <t xml:space="preserve">label:Plasma</t>
  </si>
  <si>
    <t xml:space="preserve">Plasma</t>
  </si>
  <si>
    <t xml:space="preserve">The liquid part of blood, carrying dissolved gases, proteins, electrolytes and clotting factors.</t>
  </si>
  <si>
    <t xml:space="preserve">label:Platelet</t>
  </si>
  <si>
    <t xml:space="preserve">Platelet</t>
  </si>
  <si>
    <t xml:space="preserve">Cell fragment that sticks to exposed collagen and starts a clot.</t>
  </si>
  <si>
    <t xml:space="preserve">label:Platelet plug</t>
  </si>
  <si>
    <t xml:space="preserve">Platelet plug</t>
  </si>
  <si>
    <t xml:space="preserve">Platelets stacked at the injury — the first, temporary seal.</t>
  </si>
  <si>
    <t xml:space="preserve">label:Pleural air</t>
  </si>
  <si>
    <t xml:space="preserve">Pleural air</t>
  </si>
  <si>
    <t xml:space="preserve">Air between the lung and chest wall (pneumothorax). Under tension it compresses the lung and kinks venous return.</t>
  </si>
  <si>
    <t xml:space="preserve">label:Popliteal artery</t>
  </si>
  <si>
    <t xml:space="preserve">Popliteal artery</t>
  </si>
  <si>
    <t xml:space="preserve">Artery behind the knee, continuing from the femoral.</t>
  </si>
  <si>
    <t xml:space="preserve">label:Portal vein</t>
  </si>
  <si>
    <t xml:space="preserve">Portal vein</t>
  </si>
  <si>
    <t xml:space="preserve">Carries blood from the gut and spleen to the liver; not a systemic vein.</t>
  </si>
  <si>
    <t xml:space="preserve">label:Posterior tibial artery</t>
  </si>
  <si>
    <t xml:space="preserve">Posterior tibial artery</t>
  </si>
  <si>
    <t xml:space="preserve">Runs behind the inner ankle bone, where its pulse is felt.</t>
  </si>
  <si>
    <t xml:space="preserve">label:Pressure bag</t>
  </si>
  <si>
    <t xml:space="preserve">Pressurised flush bag (about 300 mmHg) that keeps the line open with a slow continuous flush. Below about 250 mmHg blood can back up the line.</t>
  </si>
  <si>
    <t xml:space="preserve">label:Pulmonary arteriole: mixed venous blood</t>
  </si>
  <si>
    <t xml:space="preserve">Pulmonary arteriole: mixed venous blood</t>
  </si>
  <si>
    <t xml:space="preserve">Blood returning from the whole body, low in oxygen and high in CO₂, arriving to be re-oxygenated.</t>
  </si>
  <si>
    <t xml:space="preserve">label:Pulmonary artery</t>
  </si>
  <si>
    <t xml:space="preserve">3D labels › lines, heart</t>
  </si>
  <si>
    <t xml:space="preserve">Pulmonary artery</t>
  </si>
  <si>
    <t xml:space="preserve">Carries deoxygenated blood from the right ventricle to the lungs. A pulmonary-artery catheter sits here.</t>
  </si>
  <si>
    <t xml:space="preserve">label:Pulmonary veins</t>
  </si>
  <si>
    <t xml:space="preserve">Pulmonary veins</t>
  </si>
  <si>
    <t xml:space="preserve">Four veins that return oxygenated blood from the lungs to the left atrium.</t>
  </si>
  <si>
    <t xml:space="preserve">label:Pulmonary venule: arterialised blood</t>
  </si>
  <si>
    <t xml:space="preserve">Pulmonary venule: arterialised blood</t>
  </si>
  <si>
    <t xml:space="preserve">Blood leaving the lung after gas exchange, now carrying oxygen at arterial levels.</t>
  </si>
  <si>
    <t xml:space="preserve">label:R kidney</t>
  </si>
  <si>
    <t xml:space="preserve">R kidney</t>
  </si>
  <si>
    <t xml:space="preserve">Right kidney — retroperitoneal, so bleeding from it does not show on FAST.</t>
  </si>
  <si>
    <t xml:space="preserve">label:RA</t>
  </si>
  <si>
    <t xml:space="preserve">RA</t>
  </si>
  <si>
    <t xml:space="preserve">Right atrium — receives venous blood from the body and passes it through the tricuspid valve to the right ventricle.</t>
  </si>
  <si>
    <t xml:space="preserve">label:Radial arterial line</t>
  </si>
  <si>
    <t xml:space="preserve">Radial arterial line</t>
  </si>
  <si>
    <t xml:space="preserve">Cannula in the radial artery, transduced to give beat-to-beat blood pressure and easy blood sampling.</t>
  </si>
  <si>
    <t xml:space="preserve">label:Radial artery</t>
  </si>
  <si>
    <t xml:space="preserve">Radial artery</t>
  </si>
  <si>
    <t xml:space="preserve">Wrist artery on the thumb side; the usual arterial-line and ABG site because the hand also has the ulnar supply.</t>
  </si>
  <si>
    <t xml:space="preserve">label:Recruited</t>
  </si>
  <si>
    <t xml:space="preserve">Recruited</t>
  </si>
  <si>
    <t xml:space="preserve">An alveolus reopened by pressure (PEEP or a recruitment manoeuvre).</t>
  </si>
  <si>
    <t xml:space="preserve">label:Red blood cell</t>
  </si>
  <si>
    <t xml:space="preserve">Red blood cell</t>
  </si>
  <si>
    <t xml:space="preserve">Carries oxygen bound to haemoglobin and gives some of it up in the tissues.</t>
  </si>
  <si>
    <t xml:space="preserve">label:Red cell</t>
  </si>
  <si>
    <t xml:space="preserve">Red cell</t>
  </si>
  <si>
    <t xml:space="preserve">Red blood cell — carries oxygen bound to haemoglobin.</t>
  </si>
  <si>
    <t xml:space="preserve">label:Renal artery &amp; vein</t>
  </si>
  <si>
    <t xml:space="preserve">Renal artery &amp; vein</t>
  </si>
  <si>
    <t xml:space="preserve">Supply and drainage of the kidney; the kidneys receive about a fifth of the cardiac output.</t>
  </si>
  <si>
    <t xml:space="preserve">label:Renal vein: reclaimed / new HCO₃⁻</t>
  </si>
  <si>
    <t xml:space="preserve">Renal vein: reclaimed / new HCO₃⁻</t>
  </si>
  <si>
    <t xml:space="preserve">The kidney returns filtered bicarbonate and makes new bicarbonate, correcting metabolic acidosis over hours to days.</t>
  </si>
  <si>
    <t xml:space="preserve">label:Retroperitoneal haematoma</t>
  </si>
  <si>
    <t xml:space="preserve">Retroperitoneal haematoma</t>
  </si>
  <si>
    <t xml:space="preserve">Blood behind the peritoneum (e.g. from the aorta, kidney or pelvis). FAST cannot see it; CT can.</t>
  </si>
  <si>
    <t xml:space="preserve">label:Right atrium</t>
  </si>
  <si>
    <t xml:space="preserve">Right atrium</t>
  </si>
  <si>
    <t xml:space="preserve">Collects venous blood from the body (via the superior and inferior venae cavae) and the heart itself. Its pressure is the central venous pressure.</t>
  </si>
  <si>
    <t xml:space="preserve">label:Right internal jugular vein</t>
  </si>
  <si>
    <t xml:space="preserve">Right internal jugular vein</t>
  </si>
  <si>
    <t xml:space="preserve">Large vein lateral to the carotid in the neck; the usual site for an ultrasound-guided central line.</t>
  </si>
  <si>
    <t xml:space="preserve">label:Right ventricle</t>
  </si>
  <si>
    <t xml:space="preserve">Right ventricle</t>
  </si>
  <si>
    <t xml:space="preserve">Thin-walled pump that sends blood into the low-pressure lungs. It copes poorly with a sudden rise in pulmonary pressure (PE, high PEEP, ARDS).</t>
  </si>
  <si>
    <t xml:space="preserve">label:Rough ER + ribosomes</t>
  </si>
  <si>
    <t xml:space="preserve">Rough ER + ribosomes</t>
  </si>
  <si>
    <t xml:space="preserve">Rough endoplasmic reticulum — studded with ribosomes that make proteins for membranes and export.</t>
  </si>
  <si>
    <t xml:space="preserve">label:RV</t>
  </si>
  <si>
    <t xml:space="preserve">RV</t>
  </si>
  <si>
    <t xml:space="preserve">Right ventricle — pumps blood into the pulmonary artery and lungs; thin-walled and sensitive to afterload.</t>
  </si>
  <si>
    <t xml:space="preserve">label:Sarcoplasmic reticulum</t>
  </si>
  <si>
    <t xml:space="preserve">Sarcoplasmic reticulum</t>
  </si>
  <si>
    <t xml:space="preserve">Sarcoplasmic reticulum — stores calcium and releases it to trigger each contraction.</t>
  </si>
  <si>
    <t xml:space="preserve">label:Secretions narrow the tube</t>
  </si>
  <si>
    <t xml:space="preserve">Secretions narrow the tube</t>
  </si>
  <si>
    <t xml:space="preserve">Secretions inside the endotracheal tube raise airway resistance: peak pressure rises while plateau pressure stays the same.</t>
  </si>
  <si>
    <t xml:space="preserve">label:Sinusoid (blood)</t>
  </si>
  <si>
    <t xml:space="preserve">Sinusoid (blood)</t>
  </si>
  <si>
    <t xml:space="preserve">Leaky liver capillary where blood bathes the hepatocytes.</t>
  </si>
  <si>
    <t xml:space="preserve">label:Small bowel</t>
  </si>
  <si>
    <t xml:space="preserve">Small bowel</t>
  </si>
  <si>
    <t xml:space="preserve">About 6 m of bowel in the middle of the abdomen; obstruction or loss of blood supply (mesenteric ischaemia) makes it dilate and leak.</t>
  </si>
  <si>
    <t xml:space="preserve">label:Small saphenous vein</t>
  </si>
  <si>
    <t xml:space="preserve">Small saphenous vein</t>
  </si>
  <si>
    <t xml:space="preserve">Superficial vein on the back of the calf, joining the popliteal vein.</t>
  </si>
  <si>
    <t xml:space="preserve">label:Smooth ER</t>
  </si>
  <si>
    <t xml:space="preserve">Smooth ER</t>
  </si>
  <si>
    <t xml:space="preserve">Smooth endoplasmic reticulum — makes lipids and stores calcium.</t>
  </si>
  <si>
    <t xml:space="preserve">label:Spleen</t>
  </si>
  <si>
    <t xml:space="preserve">Spleen</t>
  </si>
  <si>
    <t xml:space="preserve">Under the left ribs; blood-filled and the organ most often injured in blunt abdominal trauma.</t>
  </si>
  <si>
    <t xml:space="preserve">label:Splenorenal</t>
  </si>
  <si>
    <t xml:space="preserve">Splenorenal</t>
  </si>
  <si>
    <t xml:space="preserve">The space between spleen and left kidney, the left-upper-quadrant FAST window.</t>
  </si>
  <si>
    <t xml:space="preserve">label:Stomach</t>
  </si>
  <si>
    <t xml:space="preserve">Stomach</t>
  </si>
  <si>
    <t xml:space="preserve">Upper-left abdomen. Air in it is normal; air outside it (free air) means a perforation.</t>
  </si>
  <si>
    <t xml:space="preserve">label:Stopcock open to air</t>
  </si>
  <si>
    <t xml:space="preserve">Stopcock open to air</t>
  </si>
  <si>
    <t xml:space="preserve">The transducer is open to atmosphere, so the monitor reads zero. Turn the stopcock back to the patient.</t>
  </si>
  <si>
    <t xml:space="preserve">label:Striations (sarcomeres)</t>
  </si>
  <si>
    <t xml:space="preserve">Striations (sarcomeres)</t>
  </si>
  <si>
    <t xml:space="preserve">Repeating contractile units that give heart and skeletal muscle their striped look.</t>
  </si>
  <si>
    <t xml:space="preserve">label:Subclavian → axillary artery</t>
  </si>
  <si>
    <t xml:space="preserve">Subclavian → axillary artery</t>
  </si>
  <si>
    <t xml:space="preserve">Supplies the arm; it lies just behind the subclavian vein.</t>
  </si>
  <si>
    <t xml:space="preserve">label:Subclavian → axillary vein</t>
  </si>
  <si>
    <t xml:space="preserve">Subclavian → axillary vein</t>
  </si>
  <si>
    <t xml:space="preserve">Runs under the clavicle into the arm; an alternative central-line site with lower infection risk but a pneumothorax risk.</t>
  </si>
  <si>
    <t xml:space="preserve">label:Superior vena cava</t>
  </si>
  <si>
    <t xml:space="preserve">Superior vena cava</t>
  </si>
  <si>
    <t xml:space="preserve">Drains the head, neck and arms into the right atrium. A central line’s tip belongs in its lower part, near the right atrium.</t>
  </si>
  <si>
    <t xml:space="preserve">label:Surfactant</t>
  </si>
  <si>
    <t xml:space="preserve">Surfactant</t>
  </si>
  <si>
    <t xml:space="preserve">A film that lowers surface tension so small alveoli stay open. Deficient in premature lungs and damaged in ARDS.</t>
  </si>
  <si>
    <t xml:space="preserve">label:SVC</t>
  </si>
  <si>
    <t xml:space="preserve">SVC</t>
  </si>
  <si>
    <t xml:space="preserve">Superior vena cava — drains the upper body into the right atrium; the target vessel for a central line tip.</t>
  </si>
  <si>
    <t xml:space="preserve">label:T-tubules (at each Z line)</t>
  </si>
  <si>
    <t xml:space="preserve">T-tubules (at each Z line)</t>
  </si>
  <si>
    <t xml:space="preserve">T-tubules carry the electrical signal deep into the cell so all sarcomeres contract together.</t>
  </si>
  <si>
    <t xml:space="preserve">label:Tear — collagen exposed</t>
  </si>
  <si>
    <t xml:space="preserve">Tear — collagen exposed</t>
  </si>
  <si>
    <t xml:space="preserve">A break in the vessel wall exposes collagen, which triggers platelets and clotting.</t>
  </si>
  <si>
    <t xml:space="preserve">label:Tibial veins</t>
  </si>
  <si>
    <t xml:space="preserve">Tibial veins</t>
  </si>
  <si>
    <t xml:space="preserve">Deep veins of the calf, paired with the tibial arteries.</t>
  </si>
  <si>
    <t xml:space="preserve">label:Tissue (muscle) — uses the O₂</t>
  </si>
  <si>
    <t xml:space="preserve">Tissue (muscle) — uses the O₂</t>
  </si>
  <si>
    <t xml:space="preserve">Working tissue takes up oxygen; how much depends on its demand and the flow it receives.</t>
  </si>
  <si>
    <t xml:space="preserve">label:Transducer level</t>
  </si>
  <si>
    <t xml:space="preserve">Transducer level</t>
  </si>
  <si>
    <t xml:space="preserve">Where the transducer sits relative to the phlebostatic axis. Every 10 cm below the axis adds about 7.4 mmHg to the reading; above, it subtracts.</t>
  </si>
  <si>
    <t xml:space="preserve">label:Transport vesicles</t>
  </si>
  <si>
    <t xml:space="preserve">Transport vesicles</t>
  </si>
  <si>
    <t xml:space="preserve">Small membrane bubbles carrying proteins between compartments and to the surface.</t>
  </si>
  <si>
    <t xml:space="preserve">label:Tricuspid valve</t>
  </si>
  <si>
    <t xml:space="preserve">Tricuspid valve</t>
  </si>
  <si>
    <t xml:space="preserve">Three-leaflet valve between the right atrium and right ventricle. If it leaks, the CVP waveform shows tall v waves.</t>
  </si>
  <si>
    <t xml:space="preserve">label:Tubule — filtrate → urine</t>
  </si>
  <si>
    <t xml:space="preserve">Tubule — filtrate → urine</t>
  </si>
  <si>
    <t xml:space="preserve">Reabsorbs most of the filtrate — water, sodium, bicarbonate, glucose — and adjusts what stays as urine.</t>
  </si>
  <si>
    <t xml:space="preserve">label:Type I cell</t>
  </si>
  <si>
    <t xml:space="preserve">Type I cell</t>
  </si>
  <si>
    <t xml:space="preserve">Very flat cell forming most of the alveolar wall — the thin barrier gas crosses.</t>
  </si>
  <si>
    <t xml:space="preserve">label:Ulnar artery</t>
  </si>
  <si>
    <t xml:space="preserve">Ulnar artery</t>
  </si>
  <si>
    <t xml:space="preserve">Wrist artery on the little-finger side; the back-up supply to the hand when the radial artery is cannulated.</t>
  </si>
  <si>
    <t xml:space="preserve">label:Urine: H⁺ excreted as NH₄⁺ / H₂PO₄⁻</t>
  </si>
  <si>
    <t xml:space="preserve">Urine: H⁺ excreted as NH₄⁺ / H₂PO₄⁻</t>
  </si>
  <si>
    <t xml:space="preserve">Acid leaves the body in urine bound to ammonia and phosphate buffers.</t>
  </si>
  <si>
    <t xml:space="preserve">label:Venous end</t>
  </si>
  <si>
    <t xml:space="preserve">Venous end</t>
  </si>
  <si>
    <t xml:space="preserve">Blood leaves the capillary with less oxygen and more CO₂.</t>
  </si>
  <si>
    <t xml:space="preserve">label:Ventilation: fresh gas in, CO₂ out</t>
  </si>
  <si>
    <t xml:space="preserve">Ventilation: fresh gas in, CO₂ out</t>
  </si>
  <si>
    <t xml:space="preserve">Breathing replaces alveolar gas: it brings oxygen in and washes carbon dioxide out. CO₂ removal depends on minute ventilation.</t>
  </si>
  <si>
    <t xml:space="preserve">label:Ventricular septum</t>
  </si>
  <si>
    <t xml:space="preserve">Ventricular septum</t>
  </si>
  <si>
    <t xml:space="preserve">The muscular wall between the ventricles. It bows toward the left when the right ventricle is pressure- or volume-overloaded.</t>
  </si>
  <si>
    <t xml:space="preserve">label:Venule — a VBG samples this blood</t>
  </si>
  <si>
    <t xml:space="preserve">Venule — a VBG samples this blood</t>
  </si>
  <si>
    <t xml:space="preserve">Venous blood: a venous gas tracks pH and CO₂ reasonably well but says little about oxygenation.</t>
  </si>
  <si>
    <t xml:space="preserve">label:Venule (to LA)</t>
  </si>
  <si>
    <t xml:space="preserve">Venule (to LA)</t>
  </si>
  <si>
    <t xml:space="preserve">Pulmonary venule carrying oxygenated blood back toward the left atrium.</t>
  </si>
  <si>
    <t xml:space="preserve">label:VSD — ventricular septal defect</t>
  </si>
  <si>
    <t xml:space="preserve">VSD — ventricular septal defect</t>
  </si>
  <si>
    <t xml:space="preserve">Ventricular septal defect — a hole in the septum between the ventricles. Flow normally runs left to right; it reverses if right-sided pressures exceed left.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</si>
</sst>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10"/>
      <color rgb="FF666666"/>
      <name val="Arial"/>
      <family val="0"/>
      <charset val="1"/>
    </font>
    <font>
      <b val="true"/>
      <sz val="11"/>
      <color rgb="FFFFFFFF"/>
      <name val="Arial"/>
      <family val="0"/>
      <charset val="1"/>
    </font>
  </fonts>
  <fills count="4">
    <fill>
      <patternFill patternType="none"/>
    </fill>
    <fill>
      <patternFill patternType="gray125"/>
    </fill>
    <fill>
      <patternFill patternType="solid">
        <fgColor rgb="FF1F3A4D"/>
        <bgColor rgb="FF003366"/>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D0D7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7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 collapsed="false" customWidth="true" hidden="false" outlineLevel="0" max="7" min="3" style="0" width="22"/>
  </cols>
  <sheetData>
    <row r="1" customFormat="false" ht="17.35" hidden="false" customHeight="false" outlineLevel="0" collapsed="false">
      <c r="A1" s="1" t="s">
        <v>0</v>
      </c>
      <c r="B1" s="2"/>
    </row>
    <row r="2" customFormat="false" ht="15" hidden="false" customHeight="false" outlineLevel="0" collapsed="false">
      <c r="A2" s="3"/>
      <c r="B2" s="2"/>
    </row>
    <row r="3" customFormat="false" ht="23.85" hidden="false" customHeight="false" outlineLevel="0" collapsed="false">
      <c r="A3" s="3" t="s">
        <v>1</v>
      </c>
      <c r="B3" s="2" t="s">
        <v>2</v>
      </c>
    </row>
    <row r="4" customFormat="false" ht="23.85" hidden="false" customHeight="false" outlineLevel="0" collapsed="false">
      <c r="A4" s="3" t="s">
        <v>3</v>
      </c>
      <c r="B4" s="2" t="s">
        <v>4</v>
      </c>
    </row>
    <row r="5" customFormat="false" ht="15" hidden="false" customHeight="false" outlineLevel="0" collapsed="false">
      <c r="A5" s="3" t="s">
        <v>5</v>
      </c>
      <c r="B5" s="2" t="s">
        <v>6</v>
      </c>
    </row>
    <row r="6" customFormat="false" ht="15" hidden="false" customHeight="false" outlineLevel="0" collapsed="false">
      <c r="A6" s="3" t="s">
        <v>7</v>
      </c>
      <c r="B6" s="2" t="s">
        <v>8</v>
      </c>
    </row>
    <row r="7" customFormat="false" ht="23.85" hidden="false" customHeight="false" outlineLevel="0" collapsed="false">
      <c r="A7" s="3" t="s">
        <v>9</v>
      </c>
      <c r="B7" s="2" t="s">
        <v>10</v>
      </c>
    </row>
    <row r="8" customFormat="false" ht="15" hidden="false" customHeight="false" outlineLevel="0" collapsed="false">
      <c r="A8" s="3"/>
      <c r="B8" s="2"/>
    </row>
    <row r="9" customFormat="false" ht="15" hidden="false" customHeight="false" outlineLevel="0" collapsed="false">
      <c r="A9" s="3" t="s">
        <v>11</v>
      </c>
      <c r="B9" s="2"/>
    </row>
    <row r="10" customFormat="false" ht="15" hidden="false" customHeight="false" outlineLevel="0" collapsed="false">
      <c r="A10" s="3" t="s">
        <v>12</v>
      </c>
      <c r="B10" s="3" t="s">
        <v>13</v>
      </c>
      <c r="C10" s="3" t="s">
        <v>14</v>
      </c>
      <c r="D10" s="3" t="s">
        <v>15</v>
      </c>
      <c r="E10" s="3" t="s">
        <v>16</v>
      </c>
      <c r="F10" s="3" t="s">
        <v>17</v>
      </c>
      <c r="G10" s="3" t="s">
        <v>18</v>
      </c>
    </row>
    <row r="11" customFormat="false" ht="35.05" hidden="false" customHeight="false" outlineLevel="0" collapsed="false">
      <c r="A11" s="4" t="s">
        <v>19</v>
      </c>
      <c r="B11" s="4" t="s">
        <v>20</v>
      </c>
      <c r="C11" s="4" t="s">
        <v>21</v>
      </c>
      <c r="D11" s="4" t="s">
        <v>22</v>
      </c>
      <c r="E11" s="4" t="s">
        <v>23</v>
      </c>
      <c r="F11" s="4" t="s">
        <v>24</v>
      </c>
      <c r="G11" s="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6"/>
  </cols>
  <sheetData>
    <row r="1" customFormat="false" ht="15" hidden="false" customHeight="false" outlineLevel="0" collapsed="false">
      <c r="A1" s="5" t="s">
        <v>12</v>
      </c>
      <c r="B1" s="5" t="s">
        <v>26</v>
      </c>
      <c r="C1" s="5" t="s">
        <v>27</v>
      </c>
      <c r="D1" s="5" t="s">
        <v>24</v>
      </c>
      <c r="E1" s="5" t="s">
        <v>28</v>
      </c>
      <c r="F1" s="5" t="s">
        <v>29</v>
      </c>
      <c r="G1" s="5" t="s">
        <v>30</v>
      </c>
    </row>
    <row r="2" customFormat="false" ht="15" hidden="false" customHeight="false" outlineLevel="0" collapsed="false">
      <c r="A2" s="6" t="s">
        <v>19</v>
      </c>
      <c r="B2" s="6" t="n">
        <f aca="false">COUNTIF(Review!$A$2:$A$752,$A2)</f>
        <v>76</v>
      </c>
      <c r="C2" s="6" t="n">
        <f aca="false">COUNTIFS(Review!$A$2:$A$752,$A2,Review!$G$2:$G$752,"OK")</f>
        <v>0</v>
      </c>
      <c r="D2" s="6" t="n">
        <f aca="false">COUNTIFS(Review!$A$2:$A$752,$A2,Review!$G$2:$G$752,"Change")</f>
        <v>0</v>
      </c>
      <c r="E2" s="6" t="n">
        <f aca="false">COUNTIFS(Review!$A$2:$A$752,$A2,Review!$G$2:$G$752,"Remove")</f>
        <v>0</v>
      </c>
      <c r="F2" s="6" t="n">
        <f aca="false">B2-C2-D2-E2</f>
        <v>76</v>
      </c>
      <c r="G2" s="7" t="n">
        <f aca="false">IF(B2=0,0,(C2+D2+E2)/B2)</f>
        <v>0</v>
      </c>
    </row>
    <row r="3" customFormat="false" ht="15" hidden="false" customHeight="false" outlineLevel="0" collapsed="false">
      <c r="A3" s="6" t="s">
        <v>31</v>
      </c>
      <c r="B3" s="6" t="n">
        <f aca="false">COUNTIF(Review!$A$2:$A$752,$A3)</f>
        <v>342</v>
      </c>
      <c r="C3" s="6" t="n">
        <f aca="false">COUNTIFS(Review!$A$2:$A$752,$A3,Review!$G$2:$G$752,"OK")</f>
        <v>0</v>
      </c>
      <c r="D3" s="6" t="n">
        <f aca="false">COUNTIFS(Review!$A$2:$A$752,$A3,Review!$G$2:$G$752,"Change")</f>
        <v>0</v>
      </c>
      <c r="E3" s="6" t="n">
        <f aca="false">COUNTIFS(Review!$A$2:$A$752,$A3,Review!$G$2:$G$752,"Remove")</f>
        <v>0</v>
      </c>
      <c r="F3" s="6" t="n">
        <f aca="false">B3-C3-D3-E3</f>
        <v>342</v>
      </c>
      <c r="G3" s="7" t="n">
        <f aca="false">IF(B3=0,0,(C3+D3+E3)/B3)</f>
        <v>0</v>
      </c>
    </row>
    <row r="4" customFormat="false" ht="15" hidden="false" customHeight="false" outlineLevel="0" collapsed="false">
      <c r="A4" s="6" t="s">
        <v>32</v>
      </c>
      <c r="B4" s="6" t="n">
        <f aca="false">COUNTIF(Review!$A$2:$A$752,$A4)</f>
        <v>80</v>
      </c>
      <c r="C4" s="6" t="n">
        <f aca="false">COUNTIFS(Review!$A$2:$A$752,$A4,Review!$G$2:$G$752,"OK")</f>
        <v>0</v>
      </c>
      <c r="D4" s="6" t="n">
        <f aca="false">COUNTIFS(Review!$A$2:$A$752,$A4,Review!$G$2:$G$752,"Change")</f>
        <v>0</v>
      </c>
      <c r="E4" s="6" t="n">
        <f aca="false">COUNTIFS(Review!$A$2:$A$752,$A4,Review!$G$2:$G$752,"Remove")</f>
        <v>0</v>
      </c>
      <c r="F4" s="6" t="n">
        <f aca="false">B4-C4-D4-E4</f>
        <v>80</v>
      </c>
      <c r="G4" s="7" t="n">
        <f aca="false">IF(B4=0,0,(C4+D4+E4)/B4)</f>
        <v>0</v>
      </c>
    </row>
    <row r="5" customFormat="false" ht="15" hidden="false" customHeight="false" outlineLevel="0" collapsed="false">
      <c r="A5" s="6" t="s">
        <v>33</v>
      </c>
      <c r="B5" s="6" t="n">
        <f aca="false">COUNTIF(Review!$A$2:$A$752,$A5)</f>
        <v>64</v>
      </c>
      <c r="C5" s="6" t="n">
        <f aca="false">COUNTIFS(Review!$A$2:$A$752,$A5,Review!$G$2:$G$752,"OK")</f>
        <v>0</v>
      </c>
      <c r="D5" s="6" t="n">
        <f aca="false">COUNTIFS(Review!$A$2:$A$752,$A5,Review!$G$2:$G$752,"Change")</f>
        <v>0</v>
      </c>
      <c r="E5" s="6" t="n">
        <f aca="false">COUNTIFS(Review!$A$2:$A$752,$A5,Review!$G$2:$G$752,"Remove")</f>
        <v>0</v>
      </c>
      <c r="F5" s="6" t="n">
        <f aca="false">B5-C5-D5-E5</f>
        <v>64</v>
      </c>
      <c r="G5" s="7" t="n">
        <f aca="false">IF(B5=0,0,(C5+D5+E5)/B5)</f>
        <v>0</v>
      </c>
    </row>
    <row r="6" customFormat="false" ht="15" hidden="false" customHeight="false" outlineLevel="0" collapsed="false">
      <c r="A6" s="6" t="s">
        <v>34</v>
      </c>
      <c r="B6" s="6" t="n">
        <f aca="false">COUNTIF(Review!$A$2:$A$752,$A6)</f>
        <v>189</v>
      </c>
      <c r="C6" s="6" t="n">
        <f aca="false">COUNTIFS(Review!$A$2:$A$752,$A6,Review!$G$2:$G$752,"OK")</f>
        <v>0</v>
      </c>
      <c r="D6" s="6" t="n">
        <f aca="false">COUNTIFS(Review!$A$2:$A$752,$A6,Review!$G$2:$G$752,"Change")</f>
        <v>0</v>
      </c>
      <c r="E6" s="6" t="n">
        <f aca="false">COUNTIFS(Review!$A$2:$A$752,$A6,Review!$G$2:$G$752,"Remove")</f>
        <v>0</v>
      </c>
      <c r="F6" s="6" t="n">
        <f aca="false">B6-C6-D6-E6</f>
        <v>189</v>
      </c>
      <c r="G6" s="7" t="n">
        <f aca="false">IF(B6=0,0,(C6+D6+E6)/B6)</f>
        <v>0</v>
      </c>
    </row>
    <row r="7" customFormat="false" ht="15" hidden="false" customHeight="false" outlineLevel="0" collapsed="false">
      <c r="A7" s="3" t="s">
        <v>35</v>
      </c>
      <c r="B7" s="3" t="n">
        <f aca="false">SUM(B2:B6)</f>
        <v>751</v>
      </c>
      <c r="C7" s="3" t="n">
        <f aca="false">SUM(C2:C6)</f>
        <v>0</v>
      </c>
      <c r="D7" s="3" t="n">
        <f aca="false">SUM(D2:D6)</f>
        <v>0</v>
      </c>
      <c r="E7" s="3" t="n">
        <f aca="false">SUM(E2:E6)</f>
        <v>0</v>
      </c>
      <c r="F7" s="3" t="n">
        <f aca="false">SUM(F2:F6)</f>
        <v>751</v>
      </c>
      <c r="G7" s="8" t="n">
        <f aca="false">IF(B7=0,0,(C7+D7+E7)/B7)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4" min="3" style="0" width="34"/>
    <col collapsed="false" customWidth="true" hidden="false" outlineLevel="0" max="5" min="5" style="0" width="80"/>
    <col collapsed="false" customWidth="true" hidden="false" outlineLevel="0" max="6" min="6" style="0" width="34"/>
    <col collapsed="false" customWidth="true" hidden="false" outlineLevel="0" max="7" min="7" style="0" width="12"/>
    <col collapsed="false" customWidth="true" hidden="false" outlineLevel="0" max="8" min="8" style="0" width="44"/>
  </cols>
  <sheetData>
    <row r="1" customFormat="false" ht="30" hidden="false" customHeight="true" outlineLevel="0" collapsed="false">
      <c r="A1" s="9" t="s">
        <v>12</v>
      </c>
      <c r="B1" s="9" t="s">
        <v>13</v>
      </c>
      <c r="C1" s="9" t="s">
        <v>14</v>
      </c>
      <c r="D1" s="9" t="s">
        <v>15</v>
      </c>
      <c r="E1" s="9" t="s">
        <v>16</v>
      </c>
      <c r="F1" s="9" t="s">
        <v>36</v>
      </c>
      <c r="G1" s="9" t="s">
        <v>17</v>
      </c>
      <c r="H1" s="9" t="s">
        <v>18</v>
      </c>
    </row>
    <row r="2" customFormat="false" ht="23.85" hidden="false" customHeight="false" outlineLevel="0" collapsed="false">
      <c r="A2" s="10" t="s">
        <v>19</v>
      </c>
      <c r="B2" s="10" t="s">
        <v>37</v>
      </c>
      <c r="C2" s="10" t="s">
        <v>38</v>
      </c>
      <c r="D2" s="10" t="s">
        <v>39</v>
      </c>
      <c r="E2" s="10" t="s">
        <v>40</v>
      </c>
      <c r="F2" s="10"/>
      <c r="G2" s="11"/>
      <c r="H2" s="11"/>
    </row>
    <row r="3" customFormat="false" ht="23.85" hidden="false" customHeight="false" outlineLevel="0" collapsed="false">
      <c r="A3" s="10" t="s">
        <v>19</v>
      </c>
      <c r="B3" s="10" t="s">
        <v>41</v>
      </c>
      <c r="C3" s="10" t="s">
        <v>38</v>
      </c>
      <c r="D3" s="10" t="s">
        <v>42</v>
      </c>
      <c r="E3" s="10" t="s">
        <v>43</v>
      </c>
      <c r="F3" s="10"/>
      <c r="G3" s="11"/>
      <c r="H3" s="11"/>
    </row>
    <row r="4" customFormat="false" ht="23.85" hidden="false" customHeight="false" outlineLevel="0" collapsed="false">
      <c r="A4" s="10" t="s">
        <v>19</v>
      </c>
      <c r="B4" s="10" t="s">
        <v>44</v>
      </c>
      <c r="C4" s="10" t="s">
        <v>38</v>
      </c>
      <c r="D4" s="10" t="s">
        <v>45</v>
      </c>
      <c r="E4" s="10" t="s">
        <v>46</v>
      </c>
      <c r="F4" s="10"/>
      <c r="G4" s="11"/>
      <c r="H4" s="11"/>
    </row>
    <row r="5" customFormat="false" ht="23.85" hidden="false" customHeight="false" outlineLevel="0" collapsed="false">
      <c r="A5" s="10" t="s">
        <v>19</v>
      </c>
      <c r="B5" s="10" t="s">
        <v>47</v>
      </c>
      <c r="C5" s="10" t="s">
        <v>38</v>
      </c>
      <c r="D5" s="10" t="s">
        <v>48</v>
      </c>
      <c r="E5" s="10" t="s">
        <v>49</v>
      </c>
      <c r="F5" s="10"/>
      <c r="G5" s="11"/>
      <c r="H5" s="11"/>
    </row>
    <row r="6" customFormat="false" ht="23.85" hidden="false" customHeight="false" outlineLevel="0" collapsed="false">
      <c r="A6" s="10" t="s">
        <v>19</v>
      </c>
      <c r="B6" s="10" t="s">
        <v>20</v>
      </c>
      <c r="C6" s="10" t="s">
        <v>38</v>
      </c>
      <c r="D6" s="10" t="s">
        <v>22</v>
      </c>
      <c r="E6" s="10" t="s">
        <v>50</v>
      </c>
      <c r="F6" s="10"/>
      <c r="G6" s="11"/>
      <c r="H6" s="11"/>
    </row>
    <row r="7" customFormat="false" ht="23.85" hidden="false" customHeight="false" outlineLevel="0" collapsed="false">
      <c r="A7" s="10" t="s">
        <v>19</v>
      </c>
      <c r="B7" s="10" t="s">
        <v>51</v>
      </c>
      <c r="C7" s="10" t="s">
        <v>38</v>
      </c>
      <c r="D7" s="10" t="s">
        <v>52</v>
      </c>
      <c r="E7" s="10" t="s">
        <v>53</v>
      </c>
      <c r="F7" s="10"/>
      <c r="G7" s="11"/>
      <c r="H7" s="11"/>
    </row>
    <row r="8" customFormat="false" ht="23.85" hidden="false" customHeight="false" outlineLevel="0" collapsed="false">
      <c r="A8" s="10" t="s">
        <v>19</v>
      </c>
      <c r="B8" s="10" t="s">
        <v>54</v>
      </c>
      <c r="C8" s="10" t="s">
        <v>38</v>
      </c>
      <c r="D8" s="10" t="s">
        <v>55</v>
      </c>
      <c r="E8" s="10" t="s">
        <v>56</v>
      </c>
      <c r="F8" s="10"/>
      <c r="G8" s="11"/>
      <c r="H8" s="11"/>
    </row>
    <row r="9" customFormat="false" ht="23.85" hidden="false" customHeight="false" outlineLevel="0" collapsed="false">
      <c r="A9" s="10" t="s">
        <v>19</v>
      </c>
      <c r="B9" s="10" t="s">
        <v>57</v>
      </c>
      <c r="C9" s="10" t="s">
        <v>38</v>
      </c>
      <c r="D9" s="10" t="s">
        <v>58</v>
      </c>
      <c r="E9" s="10" t="s">
        <v>59</v>
      </c>
      <c r="F9" s="10"/>
      <c r="G9" s="11"/>
      <c r="H9" s="11"/>
    </row>
    <row r="10" customFormat="false" ht="23.85" hidden="false" customHeight="false" outlineLevel="0" collapsed="false">
      <c r="A10" s="10" t="s">
        <v>19</v>
      </c>
      <c r="B10" s="10" t="s">
        <v>60</v>
      </c>
      <c r="C10" s="10" t="s">
        <v>38</v>
      </c>
      <c r="D10" s="10" t="s">
        <v>61</v>
      </c>
      <c r="E10" s="10" t="s">
        <v>62</v>
      </c>
      <c r="F10" s="10"/>
      <c r="G10" s="11"/>
      <c r="H10" s="11"/>
    </row>
    <row r="11" customFormat="false" ht="23.85" hidden="false" customHeight="false" outlineLevel="0" collapsed="false">
      <c r="A11" s="10" t="s">
        <v>19</v>
      </c>
      <c r="B11" s="10" t="s">
        <v>63</v>
      </c>
      <c r="C11" s="10" t="s">
        <v>64</v>
      </c>
      <c r="D11" s="10" t="s">
        <v>65</v>
      </c>
      <c r="E11" s="10" t="s">
        <v>66</v>
      </c>
      <c r="F11" s="10"/>
      <c r="G11" s="11"/>
      <c r="H11" s="11"/>
    </row>
    <row r="12" customFormat="false" ht="23.85" hidden="false" customHeight="false" outlineLevel="0" collapsed="false">
      <c r="A12" s="10" t="s">
        <v>19</v>
      </c>
      <c r="B12" s="10" t="s">
        <v>67</v>
      </c>
      <c r="C12" s="10" t="s">
        <v>64</v>
      </c>
      <c r="D12" s="10" t="s">
        <v>68</v>
      </c>
      <c r="E12" s="10" t="s">
        <v>69</v>
      </c>
      <c r="F12" s="10"/>
      <c r="G12" s="11"/>
      <c r="H12" s="11"/>
    </row>
    <row r="13" customFormat="false" ht="23.85" hidden="false" customHeight="false" outlineLevel="0" collapsed="false">
      <c r="A13" s="10" t="s">
        <v>19</v>
      </c>
      <c r="B13" s="10" t="s">
        <v>70</v>
      </c>
      <c r="C13" s="10" t="s">
        <v>64</v>
      </c>
      <c r="D13" s="10" t="s">
        <v>71</v>
      </c>
      <c r="E13" s="10" t="s">
        <v>72</v>
      </c>
      <c r="F13" s="10"/>
      <c r="G13" s="11"/>
      <c r="H13" s="11"/>
    </row>
    <row r="14" customFormat="false" ht="23.85" hidden="false" customHeight="false" outlineLevel="0" collapsed="false">
      <c r="A14" s="10" t="s">
        <v>19</v>
      </c>
      <c r="B14" s="10" t="s">
        <v>73</v>
      </c>
      <c r="C14" s="10" t="s">
        <v>64</v>
      </c>
      <c r="D14" s="10" t="s">
        <v>74</v>
      </c>
      <c r="E14" s="10" t="s">
        <v>75</v>
      </c>
      <c r="F14" s="10"/>
      <c r="G14" s="11"/>
      <c r="H14" s="11"/>
    </row>
    <row r="15" customFormat="false" ht="23.85" hidden="false" customHeight="false" outlineLevel="0" collapsed="false">
      <c r="A15" s="10" t="s">
        <v>19</v>
      </c>
      <c r="B15" s="10" t="s">
        <v>76</v>
      </c>
      <c r="C15" s="10" t="s">
        <v>64</v>
      </c>
      <c r="D15" s="10" t="s">
        <v>77</v>
      </c>
      <c r="E15" s="10" t="s">
        <v>78</v>
      </c>
      <c r="F15" s="10"/>
      <c r="G15" s="11"/>
      <c r="H15" s="11"/>
    </row>
    <row r="16" customFormat="false" ht="23.85" hidden="false" customHeight="false" outlineLevel="0" collapsed="false">
      <c r="A16" s="10" t="s">
        <v>19</v>
      </c>
      <c r="B16" s="10" t="s">
        <v>79</v>
      </c>
      <c r="C16" s="10" t="s">
        <v>64</v>
      </c>
      <c r="D16" s="10" t="s">
        <v>80</v>
      </c>
      <c r="E16" s="10" t="s">
        <v>81</v>
      </c>
      <c r="F16" s="10"/>
      <c r="G16" s="11"/>
      <c r="H16" s="11"/>
    </row>
    <row r="17" customFormat="false" ht="23.85" hidden="false" customHeight="false" outlineLevel="0" collapsed="false">
      <c r="A17" s="10" t="s">
        <v>19</v>
      </c>
      <c r="B17" s="10" t="s">
        <v>82</v>
      </c>
      <c r="C17" s="10" t="s">
        <v>64</v>
      </c>
      <c r="D17" s="10" t="s">
        <v>83</v>
      </c>
      <c r="E17" s="10" t="s">
        <v>84</v>
      </c>
      <c r="F17" s="10"/>
      <c r="G17" s="11"/>
      <c r="H17" s="11"/>
    </row>
    <row r="18" customFormat="false" ht="23.85" hidden="false" customHeight="false" outlineLevel="0" collapsed="false">
      <c r="A18" s="10" t="s">
        <v>19</v>
      </c>
      <c r="B18" s="10" t="s">
        <v>85</v>
      </c>
      <c r="C18" s="10" t="s">
        <v>64</v>
      </c>
      <c r="D18" s="10" t="s">
        <v>86</v>
      </c>
      <c r="E18" s="10" t="s">
        <v>87</v>
      </c>
      <c r="F18" s="10"/>
      <c r="G18" s="11"/>
      <c r="H18" s="11"/>
    </row>
    <row r="19" customFormat="false" ht="23.85" hidden="false" customHeight="false" outlineLevel="0" collapsed="false">
      <c r="A19" s="10" t="s">
        <v>19</v>
      </c>
      <c r="B19" s="10" t="s">
        <v>88</v>
      </c>
      <c r="C19" s="10" t="s">
        <v>89</v>
      </c>
      <c r="D19" s="10" t="s">
        <v>90</v>
      </c>
      <c r="E19" s="10" t="s">
        <v>91</v>
      </c>
      <c r="F19" s="10"/>
      <c r="G19" s="11"/>
      <c r="H19" s="11"/>
    </row>
    <row r="20" customFormat="false" ht="23.85" hidden="false" customHeight="false" outlineLevel="0" collapsed="false">
      <c r="A20" s="10" t="s">
        <v>19</v>
      </c>
      <c r="B20" s="10" t="s">
        <v>92</v>
      </c>
      <c r="C20" s="10" t="s">
        <v>89</v>
      </c>
      <c r="D20" s="10" t="s">
        <v>93</v>
      </c>
      <c r="E20" s="10" t="s">
        <v>94</v>
      </c>
      <c r="F20" s="10"/>
      <c r="G20" s="11"/>
      <c r="H20" s="11"/>
    </row>
    <row r="21" customFormat="false" ht="23.85" hidden="false" customHeight="false" outlineLevel="0" collapsed="false">
      <c r="A21" s="10" t="s">
        <v>19</v>
      </c>
      <c r="B21" s="10" t="s">
        <v>95</v>
      </c>
      <c r="C21" s="10" t="s">
        <v>89</v>
      </c>
      <c r="D21" s="10" t="s">
        <v>96</v>
      </c>
      <c r="E21" s="10" t="s">
        <v>97</v>
      </c>
      <c r="F21" s="10"/>
      <c r="G21" s="11"/>
      <c r="H21" s="11"/>
    </row>
    <row r="22" customFormat="false" ht="23.85" hidden="false" customHeight="false" outlineLevel="0" collapsed="false">
      <c r="A22" s="10" t="s">
        <v>19</v>
      </c>
      <c r="B22" s="10" t="s">
        <v>98</v>
      </c>
      <c r="C22" s="10" t="s">
        <v>89</v>
      </c>
      <c r="D22" s="10" t="s">
        <v>99</v>
      </c>
      <c r="E22" s="10" t="s">
        <v>100</v>
      </c>
      <c r="F22" s="10"/>
      <c r="G22" s="11"/>
      <c r="H22" s="11"/>
    </row>
    <row r="23" customFormat="false" ht="23.85" hidden="false" customHeight="false" outlineLevel="0" collapsed="false">
      <c r="A23" s="10" t="s">
        <v>19</v>
      </c>
      <c r="B23" s="10" t="s">
        <v>101</v>
      </c>
      <c r="C23" s="10" t="s">
        <v>89</v>
      </c>
      <c r="D23" s="10" t="s">
        <v>102</v>
      </c>
      <c r="E23" s="10" t="s">
        <v>103</v>
      </c>
      <c r="F23" s="10"/>
      <c r="G23" s="11"/>
      <c r="H23" s="11"/>
    </row>
    <row r="24" customFormat="false" ht="23.85" hidden="false" customHeight="false" outlineLevel="0" collapsed="false">
      <c r="A24" s="10" t="s">
        <v>19</v>
      </c>
      <c r="B24" s="10" t="s">
        <v>104</v>
      </c>
      <c r="C24" s="10" t="s">
        <v>89</v>
      </c>
      <c r="D24" s="10" t="s">
        <v>105</v>
      </c>
      <c r="E24" s="10" t="s">
        <v>106</v>
      </c>
      <c r="F24" s="10"/>
      <c r="G24" s="11"/>
      <c r="H24" s="11"/>
    </row>
    <row r="25" customFormat="false" ht="23.85" hidden="false" customHeight="false" outlineLevel="0" collapsed="false">
      <c r="A25" s="10" t="s">
        <v>19</v>
      </c>
      <c r="B25" s="10" t="s">
        <v>107</v>
      </c>
      <c r="C25" s="10" t="s">
        <v>89</v>
      </c>
      <c r="D25" s="10" t="s">
        <v>108</v>
      </c>
      <c r="E25" s="10" t="s">
        <v>109</v>
      </c>
      <c r="F25" s="10"/>
      <c r="G25" s="11"/>
      <c r="H25" s="11"/>
    </row>
    <row r="26" customFormat="false" ht="23.85" hidden="false" customHeight="false" outlineLevel="0" collapsed="false">
      <c r="A26" s="10" t="s">
        <v>19</v>
      </c>
      <c r="B26" s="10" t="s">
        <v>110</v>
      </c>
      <c r="C26" s="10" t="s">
        <v>89</v>
      </c>
      <c r="D26" s="10" t="s">
        <v>111</v>
      </c>
      <c r="E26" s="10" t="s">
        <v>112</v>
      </c>
      <c r="F26" s="10"/>
      <c r="G26" s="11"/>
      <c r="H26" s="11"/>
    </row>
    <row r="27" customFormat="false" ht="23.85" hidden="false" customHeight="false" outlineLevel="0" collapsed="false">
      <c r="A27" s="10" t="s">
        <v>19</v>
      </c>
      <c r="B27" s="10" t="s">
        <v>113</v>
      </c>
      <c r="C27" s="10" t="s">
        <v>89</v>
      </c>
      <c r="D27" s="10" t="s">
        <v>114</v>
      </c>
      <c r="E27" s="10" t="s">
        <v>115</v>
      </c>
      <c r="F27" s="10"/>
      <c r="G27" s="11"/>
      <c r="H27" s="11"/>
    </row>
    <row r="28" customFormat="false" ht="23.85" hidden="false" customHeight="false" outlineLevel="0" collapsed="false">
      <c r="A28" s="10" t="s">
        <v>19</v>
      </c>
      <c r="B28" s="10" t="s">
        <v>116</v>
      </c>
      <c r="C28" s="10" t="s">
        <v>89</v>
      </c>
      <c r="D28" s="10" t="s">
        <v>117</v>
      </c>
      <c r="E28" s="10" t="s">
        <v>118</v>
      </c>
      <c r="F28" s="10"/>
      <c r="G28" s="11"/>
      <c r="H28" s="11"/>
    </row>
    <row r="29" customFormat="false" ht="23.85" hidden="false" customHeight="false" outlineLevel="0" collapsed="false">
      <c r="A29" s="10" t="s">
        <v>19</v>
      </c>
      <c r="B29" s="10" t="s">
        <v>119</v>
      </c>
      <c r="C29" s="10" t="s">
        <v>89</v>
      </c>
      <c r="D29" s="10" t="s">
        <v>120</v>
      </c>
      <c r="E29" s="10" t="s">
        <v>121</v>
      </c>
      <c r="F29" s="10"/>
      <c r="G29" s="11"/>
      <c r="H29" s="11"/>
    </row>
    <row r="30" customFormat="false" ht="23.85" hidden="false" customHeight="false" outlineLevel="0" collapsed="false">
      <c r="A30" s="10" t="s">
        <v>19</v>
      </c>
      <c r="B30" s="10" t="s">
        <v>122</v>
      </c>
      <c r="C30" s="10" t="s">
        <v>89</v>
      </c>
      <c r="D30" s="10" t="s">
        <v>123</v>
      </c>
      <c r="E30" s="10" t="s">
        <v>124</v>
      </c>
      <c r="F30" s="10"/>
      <c r="G30" s="11"/>
      <c r="H30" s="11"/>
    </row>
    <row r="31" customFormat="false" ht="23.85" hidden="false" customHeight="false" outlineLevel="0" collapsed="false">
      <c r="A31" s="10" t="s">
        <v>19</v>
      </c>
      <c r="B31" s="10" t="s">
        <v>125</v>
      </c>
      <c r="C31" s="10" t="s">
        <v>89</v>
      </c>
      <c r="D31" s="10" t="s">
        <v>126</v>
      </c>
      <c r="E31" s="10" t="s">
        <v>127</v>
      </c>
      <c r="F31" s="10"/>
      <c r="G31" s="11"/>
      <c r="H31" s="11"/>
    </row>
    <row r="32" customFormat="false" ht="23.85" hidden="false" customHeight="false" outlineLevel="0" collapsed="false">
      <c r="A32" s="10" t="s">
        <v>19</v>
      </c>
      <c r="B32" s="10" t="s">
        <v>128</v>
      </c>
      <c r="C32" s="10" t="s">
        <v>129</v>
      </c>
      <c r="D32" s="10" t="s">
        <v>130</v>
      </c>
      <c r="E32" s="10" t="s">
        <v>131</v>
      </c>
      <c r="F32" s="10"/>
      <c r="G32" s="11"/>
      <c r="H32" s="11"/>
    </row>
    <row r="33" customFormat="false" ht="15" hidden="false" customHeight="false" outlineLevel="0" collapsed="false">
      <c r="A33" s="10" t="s">
        <v>19</v>
      </c>
      <c r="B33" s="10" t="s">
        <v>132</v>
      </c>
      <c r="C33" s="10" t="s">
        <v>129</v>
      </c>
      <c r="D33" s="10" t="s">
        <v>133</v>
      </c>
      <c r="E33" s="10" t="s">
        <v>134</v>
      </c>
      <c r="F33" s="10"/>
      <c r="G33" s="11"/>
      <c r="H33" s="11"/>
    </row>
    <row r="34" customFormat="false" ht="15" hidden="false" customHeight="false" outlineLevel="0" collapsed="false">
      <c r="A34" s="10" t="s">
        <v>19</v>
      </c>
      <c r="B34" s="10" t="s">
        <v>135</v>
      </c>
      <c r="C34" s="10" t="s">
        <v>129</v>
      </c>
      <c r="D34" s="10" t="s">
        <v>126</v>
      </c>
      <c r="E34" s="10" t="s">
        <v>136</v>
      </c>
      <c r="F34" s="10"/>
      <c r="G34" s="11"/>
      <c r="H34" s="11"/>
    </row>
    <row r="35" customFormat="false" ht="23.85" hidden="false" customHeight="false" outlineLevel="0" collapsed="false">
      <c r="A35" s="10" t="s">
        <v>19</v>
      </c>
      <c r="B35" s="10" t="s">
        <v>137</v>
      </c>
      <c r="C35" s="10" t="s">
        <v>129</v>
      </c>
      <c r="D35" s="10" t="s">
        <v>138</v>
      </c>
      <c r="E35" s="10" t="s">
        <v>139</v>
      </c>
      <c r="F35" s="10"/>
      <c r="G35" s="11"/>
      <c r="H35" s="11"/>
    </row>
    <row r="36" customFormat="false" ht="35.05" hidden="false" customHeight="false" outlineLevel="0" collapsed="false">
      <c r="A36" s="10" t="s">
        <v>19</v>
      </c>
      <c r="B36" s="10" t="s">
        <v>140</v>
      </c>
      <c r="C36" s="10" t="s">
        <v>129</v>
      </c>
      <c r="D36" s="10" t="s">
        <v>141</v>
      </c>
      <c r="E36" s="10" t="s">
        <v>142</v>
      </c>
      <c r="F36" s="10"/>
      <c r="G36" s="11"/>
      <c r="H36" s="11"/>
    </row>
    <row r="37" customFormat="false" ht="23.85" hidden="false" customHeight="false" outlineLevel="0" collapsed="false">
      <c r="A37" s="10" t="s">
        <v>19</v>
      </c>
      <c r="B37" s="10" t="s">
        <v>143</v>
      </c>
      <c r="C37" s="10" t="s">
        <v>129</v>
      </c>
      <c r="D37" s="10" t="s">
        <v>144</v>
      </c>
      <c r="E37" s="10" t="s">
        <v>145</v>
      </c>
      <c r="F37" s="10"/>
      <c r="G37" s="11"/>
      <c r="H37" s="11"/>
    </row>
    <row r="38" customFormat="false" ht="23.85" hidden="false" customHeight="false" outlineLevel="0" collapsed="false">
      <c r="A38" s="10" t="s">
        <v>19</v>
      </c>
      <c r="B38" s="10" t="s">
        <v>146</v>
      </c>
      <c r="C38" s="10" t="s">
        <v>147</v>
      </c>
      <c r="D38" s="10" t="s">
        <v>148</v>
      </c>
      <c r="E38" s="10" t="s">
        <v>149</v>
      </c>
      <c r="F38" s="10"/>
      <c r="G38" s="11"/>
      <c r="H38" s="11"/>
    </row>
    <row r="39" customFormat="false" ht="23.85" hidden="false" customHeight="false" outlineLevel="0" collapsed="false">
      <c r="A39" s="10" t="s">
        <v>19</v>
      </c>
      <c r="B39" s="10" t="s">
        <v>150</v>
      </c>
      <c r="C39" s="10" t="s">
        <v>147</v>
      </c>
      <c r="D39" s="10" t="s">
        <v>151</v>
      </c>
      <c r="E39" s="10" t="s">
        <v>152</v>
      </c>
      <c r="F39" s="10"/>
      <c r="G39" s="11"/>
      <c r="H39" s="11"/>
    </row>
    <row r="40" customFormat="false" ht="23.85" hidden="false" customHeight="false" outlineLevel="0" collapsed="false">
      <c r="A40" s="10" t="s">
        <v>19</v>
      </c>
      <c r="B40" s="10" t="s">
        <v>153</v>
      </c>
      <c r="C40" s="10" t="s">
        <v>147</v>
      </c>
      <c r="D40" s="10" t="s">
        <v>154</v>
      </c>
      <c r="E40" s="10" t="s">
        <v>155</v>
      </c>
      <c r="F40" s="10"/>
      <c r="G40" s="11"/>
      <c r="H40" s="11"/>
    </row>
    <row r="41" customFormat="false" ht="23.85" hidden="false" customHeight="false" outlineLevel="0" collapsed="false">
      <c r="A41" s="10" t="s">
        <v>19</v>
      </c>
      <c r="B41" s="10" t="s">
        <v>156</v>
      </c>
      <c r="C41" s="10" t="s">
        <v>157</v>
      </c>
      <c r="D41" s="10" t="s">
        <v>158</v>
      </c>
      <c r="E41" s="10" t="s">
        <v>159</v>
      </c>
      <c r="F41" s="10"/>
      <c r="G41" s="11"/>
      <c r="H41" s="11"/>
    </row>
    <row r="42" customFormat="false" ht="23.85" hidden="false" customHeight="false" outlineLevel="0" collapsed="false">
      <c r="A42" s="10" t="s">
        <v>19</v>
      </c>
      <c r="B42" s="10" t="s">
        <v>160</v>
      </c>
      <c r="C42" s="10" t="s">
        <v>157</v>
      </c>
      <c r="D42" s="10" t="s">
        <v>161</v>
      </c>
      <c r="E42" s="10" t="s">
        <v>162</v>
      </c>
      <c r="F42" s="10"/>
      <c r="G42" s="11"/>
      <c r="H42" s="11"/>
    </row>
    <row r="43" customFormat="false" ht="23.85" hidden="false" customHeight="false" outlineLevel="0" collapsed="false">
      <c r="A43" s="10" t="s">
        <v>19</v>
      </c>
      <c r="B43" s="10" t="s">
        <v>163</v>
      </c>
      <c r="C43" s="10" t="s">
        <v>157</v>
      </c>
      <c r="D43" s="10" t="s">
        <v>164</v>
      </c>
      <c r="E43" s="10" t="s">
        <v>165</v>
      </c>
      <c r="F43" s="10"/>
      <c r="G43" s="11"/>
      <c r="H43" s="11"/>
    </row>
    <row r="44" customFormat="false" ht="23.85" hidden="false" customHeight="false" outlineLevel="0" collapsed="false">
      <c r="A44" s="10" t="s">
        <v>19</v>
      </c>
      <c r="B44" s="10" t="s">
        <v>166</v>
      </c>
      <c r="C44" s="10" t="s">
        <v>157</v>
      </c>
      <c r="D44" s="10" t="s">
        <v>167</v>
      </c>
      <c r="E44" s="10" t="s">
        <v>168</v>
      </c>
      <c r="F44" s="10"/>
      <c r="G44" s="11"/>
      <c r="H44" s="11"/>
    </row>
    <row r="45" customFormat="false" ht="23.85" hidden="false" customHeight="false" outlineLevel="0" collapsed="false">
      <c r="A45" s="10" t="s">
        <v>19</v>
      </c>
      <c r="B45" s="10" t="s">
        <v>169</v>
      </c>
      <c r="C45" s="10" t="s">
        <v>157</v>
      </c>
      <c r="D45" s="10" t="s">
        <v>170</v>
      </c>
      <c r="E45" s="10" t="s">
        <v>171</v>
      </c>
      <c r="F45" s="10"/>
      <c r="G45" s="11"/>
      <c r="H45" s="11"/>
    </row>
    <row r="46" customFormat="false" ht="23.85" hidden="false" customHeight="false" outlineLevel="0" collapsed="false">
      <c r="A46" s="10" t="s">
        <v>19</v>
      </c>
      <c r="B46" s="10" t="s">
        <v>172</v>
      </c>
      <c r="C46" s="10" t="s">
        <v>157</v>
      </c>
      <c r="D46" s="10" t="s">
        <v>173</v>
      </c>
      <c r="E46" s="10" t="s">
        <v>174</v>
      </c>
      <c r="F46" s="10"/>
      <c r="G46" s="11"/>
      <c r="H46" s="11"/>
    </row>
    <row r="47" customFormat="false" ht="23.85" hidden="false" customHeight="false" outlineLevel="0" collapsed="false">
      <c r="A47" s="10" t="s">
        <v>19</v>
      </c>
      <c r="B47" s="10" t="s">
        <v>175</v>
      </c>
      <c r="C47" s="10" t="s">
        <v>157</v>
      </c>
      <c r="D47" s="10" t="s">
        <v>176</v>
      </c>
      <c r="E47" s="10" t="s">
        <v>177</v>
      </c>
      <c r="F47" s="10"/>
      <c r="G47" s="11"/>
      <c r="H47" s="11"/>
    </row>
    <row r="48" customFormat="false" ht="68.65" hidden="false" customHeight="false" outlineLevel="0" collapsed="false">
      <c r="A48" s="10" t="s">
        <v>19</v>
      </c>
      <c r="B48" s="10" t="s">
        <v>178</v>
      </c>
      <c r="C48" s="10" t="s">
        <v>179</v>
      </c>
      <c r="D48" s="10" t="s">
        <v>180</v>
      </c>
      <c r="E48" s="10" t="s">
        <v>181</v>
      </c>
      <c r="F48" s="10"/>
      <c r="G48" s="11"/>
      <c r="H48" s="11"/>
    </row>
    <row r="49" customFormat="false" ht="68.65" hidden="false" customHeight="false" outlineLevel="0" collapsed="false">
      <c r="A49" s="10" t="s">
        <v>19</v>
      </c>
      <c r="B49" s="10" t="s">
        <v>182</v>
      </c>
      <c r="C49" s="10" t="s">
        <v>179</v>
      </c>
      <c r="D49" s="10" t="s">
        <v>183</v>
      </c>
      <c r="E49" s="10" t="s">
        <v>184</v>
      </c>
      <c r="F49" s="10"/>
      <c r="G49" s="11"/>
      <c r="H49" s="11"/>
    </row>
    <row r="50" customFormat="false" ht="46.25" hidden="false" customHeight="false" outlineLevel="0" collapsed="false">
      <c r="A50" s="10" t="s">
        <v>19</v>
      </c>
      <c r="B50" s="10" t="s">
        <v>185</v>
      </c>
      <c r="C50" s="10" t="s">
        <v>179</v>
      </c>
      <c r="D50" s="10" t="s">
        <v>186</v>
      </c>
      <c r="E50" s="10" t="s">
        <v>187</v>
      </c>
      <c r="F50" s="10"/>
      <c r="G50" s="11"/>
      <c r="H50" s="11"/>
    </row>
    <row r="51" customFormat="false" ht="68.65" hidden="false" customHeight="false" outlineLevel="0" collapsed="false">
      <c r="A51" s="10" t="s">
        <v>19</v>
      </c>
      <c r="B51" s="10" t="s">
        <v>188</v>
      </c>
      <c r="C51" s="10" t="s">
        <v>179</v>
      </c>
      <c r="D51" s="10" t="s">
        <v>189</v>
      </c>
      <c r="E51" s="10" t="s">
        <v>190</v>
      </c>
      <c r="F51" s="10"/>
      <c r="G51" s="11"/>
      <c r="H51" s="11"/>
    </row>
    <row r="52" customFormat="false" ht="68.65" hidden="false" customHeight="false" outlineLevel="0" collapsed="false">
      <c r="A52" s="10" t="s">
        <v>19</v>
      </c>
      <c r="B52" s="10" t="s">
        <v>191</v>
      </c>
      <c r="C52" s="10" t="s">
        <v>179</v>
      </c>
      <c r="D52" s="10" t="s">
        <v>192</v>
      </c>
      <c r="E52" s="10" t="s">
        <v>193</v>
      </c>
      <c r="F52" s="10"/>
      <c r="G52" s="11"/>
      <c r="H52" s="11"/>
    </row>
    <row r="53" customFormat="false" ht="46.25" hidden="false" customHeight="false" outlineLevel="0" collapsed="false">
      <c r="A53" s="10" t="s">
        <v>19</v>
      </c>
      <c r="B53" s="10" t="s">
        <v>194</v>
      </c>
      <c r="C53" s="10" t="s">
        <v>179</v>
      </c>
      <c r="D53" s="10" t="s">
        <v>195</v>
      </c>
      <c r="E53" s="10" t="s">
        <v>196</v>
      </c>
      <c r="F53" s="10"/>
      <c r="G53" s="11"/>
      <c r="H53" s="11"/>
    </row>
    <row r="54" customFormat="false" ht="46.25" hidden="false" customHeight="false" outlineLevel="0" collapsed="false">
      <c r="A54" s="10" t="s">
        <v>19</v>
      </c>
      <c r="B54" s="10" t="s">
        <v>197</v>
      </c>
      <c r="C54" s="10" t="s">
        <v>179</v>
      </c>
      <c r="D54" s="10" t="s">
        <v>198</v>
      </c>
      <c r="E54" s="10" t="s">
        <v>199</v>
      </c>
      <c r="F54" s="10"/>
      <c r="G54" s="11"/>
      <c r="H54" s="11"/>
    </row>
    <row r="55" customFormat="false" ht="46.25" hidden="false" customHeight="false" outlineLevel="0" collapsed="false">
      <c r="A55" s="10" t="s">
        <v>19</v>
      </c>
      <c r="B55" s="10" t="s">
        <v>200</v>
      </c>
      <c r="C55" s="10" t="s">
        <v>201</v>
      </c>
      <c r="D55" s="10" t="s">
        <v>202</v>
      </c>
      <c r="E55" s="10" t="s">
        <v>203</v>
      </c>
      <c r="F55" s="10"/>
      <c r="G55" s="11"/>
      <c r="H55" s="11"/>
    </row>
    <row r="56" customFormat="false" ht="46.25" hidden="false" customHeight="false" outlineLevel="0" collapsed="false">
      <c r="A56" s="10" t="s">
        <v>19</v>
      </c>
      <c r="B56" s="10" t="s">
        <v>204</v>
      </c>
      <c r="C56" s="10" t="s">
        <v>201</v>
      </c>
      <c r="D56" s="10" t="s">
        <v>205</v>
      </c>
      <c r="E56" s="10" t="s">
        <v>206</v>
      </c>
      <c r="F56" s="10"/>
      <c r="G56" s="11"/>
      <c r="H56" s="11"/>
    </row>
    <row r="57" customFormat="false" ht="46.25" hidden="false" customHeight="false" outlineLevel="0" collapsed="false">
      <c r="A57" s="10" t="s">
        <v>19</v>
      </c>
      <c r="B57" s="10" t="s">
        <v>207</v>
      </c>
      <c r="C57" s="10" t="s">
        <v>201</v>
      </c>
      <c r="D57" s="10" t="s">
        <v>208</v>
      </c>
      <c r="E57" s="10" t="s">
        <v>209</v>
      </c>
      <c r="F57" s="10"/>
      <c r="G57" s="11"/>
      <c r="H57" s="11"/>
    </row>
    <row r="58" customFormat="false" ht="57.45" hidden="false" customHeight="false" outlineLevel="0" collapsed="false">
      <c r="A58" s="10" t="s">
        <v>19</v>
      </c>
      <c r="B58" s="10" t="s">
        <v>210</v>
      </c>
      <c r="C58" s="10" t="s">
        <v>211</v>
      </c>
      <c r="D58" s="10" t="s">
        <v>212</v>
      </c>
      <c r="E58" s="10" t="s">
        <v>213</v>
      </c>
      <c r="F58" s="10"/>
      <c r="G58" s="11"/>
      <c r="H58" s="11"/>
    </row>
    <row r="59" customFormat="false" ht="35.05" hidden="false" customHeight="false" outlineLevel="0" collapsed="false">
      <c r="A59" s="10" t="s">
        <v>19</v>
      </c>
      <c r="B59" s="10" t="s">
        <v>214</v>
      </c>
      <c r="C59" s="10" t="s">
        <v>211</v>
      </c>
      <c r="D59" s="10" t="s">
        <v>215</v>
      </c>
      <c r="E59" s="10" t="s">
        <v>216</v>
      </c>
      <c r="F59" s="10"/>
      <c r="G59" s="11"/>
      <c r="H59" s="11"/>
    </row>
    <row r="60" customFormat="false" ht="46.25" hidden="false" customHeight="false" outlineLevel="0" collapsed="false">
      <c r="A60" s="10" t="s">
        <v>19</v>
      </c>
      <c r="B60" s="10" t="s">
        <v>217</v>
      </c>
      <c r="C60" s="10" t="s">
        <v>211</v>
      </c>
      <c r="D60" s="10" t="s">
        <v>218</v>
      </c>
      <c r="E60" s="10" t="s">
        <v>219</v>
      </c>
      <c r="F60" s="10"/>
      <c r="G60" s="11"/>
      <c r="H60" s="11"/>
    </row>
    <row r="61" customFormat="false" ht="35.05" hidden="false" customHeight="false" outlineLevel="0" collapsed="false">
      <c r="A61" s="10" t="s">
        <v>19</v>
      </c>
      <c r="B61" s="10" t="s">
        <v>220</v>
      </c>
      <c r="C61" s="10" t="s">
        <v>211</v>
      </c>
      <c r="D61" s="10" t="s">
        <v>221</v>
      </c>
      <c r="E61" s="10" t="s">
        <v>222</v>
      </c>
      <c r="F61" s="10"/>
      <c r="G61" s="11"/>
      <c r="H61" s="11"/>
    </row>
    <row r="62" customFormat="false" ht="46.25" hidden="false" customHeight="false" outlineLevel="0" collapsed="false">
      <c r="A62" s="10" t="s">
        <v>19</v>
      </c>
      <c r="B62" s="10" t="s">
        <v>223</v>
      </c>
      <c r="C62" s="10" t="s">
        <v>224</v>
      </c>
      <c r="D62" s="10" t="s">
        <v>225</v>
      </c>
      <c r="E62" s="10" t="s">
        <v>226</v>
      </c>
      <c r="F62" s="10"/>
      <c r="G62" s="11"/>
      <c r="H62" s="11"/>
    </row>
    <row r="63" customFormat="false" ht="23.85" hidden="false" customHeight="false" outlineLevel="0" collapsed="false">
      <c r="A63" s="10" t="s">
        <v>19</v>
      </c>
      <c r="B63" s="10" t="s">
        <v>227</v>
      </c>
      <c r="C63" s="10" t="s">
        <v>224</v>
      </c>
      <c r="D63" s="10" t="s">
        <v>228</v>
      </c>
      <c r="E63" s="10" t="s">
        <v>229</v>
      </c>
      <c r="F63" s="10"/>
      <c r="G63" s="11"/>
      <c r="H63" s="11"/>
    </row>
    <row r="64" customFormat="false" ht="23.85" hidden="false" customHeight="false" outlineLevel="0" collapsed="false">
      <c r="A64" s="10" t="s">
        <v>19</v>
      </c>
      <c r="B64" s="10" t="s">
        <v>230</v>
      </c>
      <c r="C64" s="10" t="s">
        <v>224</v>
      </c>
      <c r="D64" s="10" t="s">
        <v>231</v>
      </c>
      <c r="E64" s="10" t="s">
        <v>232</v>
      </c>
      <c r="F64" s="10"/>
      <c r="G64" s="11"/>
      <c r="H64" s="11"/>
    </row>
    <row r="65" customFormat="false" ht="46.25" hidden="false" customHeight="false" outlineLevel="0" collapsed="false">
      <c r="A65" s="10" t="s">
        <v>19</v>
      </c>
      <c r="B65" s="10" t="s">
        <v>233</v>
      </c>
      <c r="C65" s="10" t="s">
        <v>224</v>
      </c>
      <c r="D65" s="10" t="s">
        <v>234</v>
      </c>
      <c r="E65" s="10" t="s">
        <v>235</v>
      </c>
      <c r="F65" s="10"/>
      <c r="G65" s="11"/>
      <c r="H65" s="11"/>
    </row>
    <row r="66" customFormat="false" ht="57.45" hidden="false" customHeight="false" outlineLevel="0" collapsed="false">
      <c r="A66" s="10" t="s">
        <v>19</v>
      </c>
      <c r="B66" s="10" t="s">
        <v>236</v>
      </c>
      <c r="C66" s="10" t="s">
        <v>224</v>
      </c>
      <c r="D66" s="10" t="s">
        <v>237</v>
      </c>
      <c r="E66" s="10" t="s">
        <v>238</v>
      </c>
      <c r="F66" s="10"/>
      <c r="G66" s="11"/>
      <c r="H66" s="11"/>
    </row>
    <row r="67" customFormat="false" ht="23.85" hidden="false" customHeight="false" outlineLevel="0" collapsed="false">
      <c r="A67" s="10" t="s">
        <v>19</v>
      </c>
      <c r="B67" s="10" t="s">
        <v>239</v>
      </c>
      <c r="C67" s="10" t="s">
        <v>240</v>
      </c>
      <c r="D67" s="10" t="s">
        <v>241</v>
      </c>
      <c r="E67" s="10" t="s">
        <v>242</v>
      </c>
      <c r="F67" s="10"/>
      <c r="G67" s="11"/>
      <c r="H67" s="11"/>
    </row>
    <row r="68" customFormat="false" ht="23.85" hidden="false" customHeight="false" outlineLevel="0" collapsed="false">
      <c r="A68" s="10" t="s">
        <v>19</v>
      </c>
      <c r="B68" s="10" t="s">
        <v>243</v>
      </c>
      <c r="C68" s="10" t="s">
        <v>240</v>
      </c>
      <c r="D68" s="10" t="s">
        <v>244</v>
      </c>
      <c r="E68" s="10" t="s">
        <v>245</v>
      </c>
      <c r="F68" s="10"/>
      <c r="G68" s="11"/>
      <c r="H68" s="11"/>
    </row>
    <row r="69" customFormat="false" ht="35.05" hidden="false" customHeight="false" outlineLevel="0" collapsed="false">
      <c r="A69" s="10" t="s">
        <v>19</v>
      </c>
      <c r="B69" s="10" t="s">
        <v>246</v>
      </c>
      <c r="C69" s="10" t="s">
        <v>240</v>
      </c>
      <c r="D69" s="10" t="s">
        <v>247</v>
      </c>
      <c r="E69" s="10" t="s">
        <v>248</v>
      </c>
      <c r="F69" s="10"/>
      <c r="G69" s="11"/>
      <c r="H69" s="11"/>
    </row>
    <row r="70" customFormat="false" ht="35.05" hidden="false" customHeight="false" outlineLevel="0" collapsed="false">
      <c r="A70" s="10" t="s">
        <v>19</v>
      </c>
      <c r="B70" s="10" t="s">
        <v>249</v>
      </c>
      <c r="C70" s="10" t="s">
        <v>240</v>
      </c>
      <c r="D70" s="10" t="s">
        <v>250</v>
      </c>
      <c r="E70" s="10" t="s">
        <v>251</v>
      </c>
      <c r="F70" s="10"/>
      <c r="G70" s="11"/>
      <c r="H70" s="11"/>
    </row>
    <row r="71" customFormat="false" ht="46.25" hidden="false" customHeight="false" outlineLevel="0" collapsed="false">
      <c r="A71" s="10" t="s">
        <v>19</v>
      </c>
      <c r="B71" s="10" t="s">
        <v>252</v>
      </c>
      <c r="C71" s="10" t="s">
        <v>253</v>
      </c>
      <c r="D71" s="10" t="s">
        <v>254</v>
      </c>
      <c r="E71" s="10" t="s">
        <v>255</v>
      </c>
      <c r="F71" s="10"/>
      <c r="G71" s="11"/>
      <c r="H71" s="11"/>
    </row>
    <row r="72" customFormat="false" ht="35.05" hidden="false" customHeight="false" outlineLevel="0" collapsed="false">
      <c r="A72" s="10" t="s">
        <v>19</v>
      </c>
      <c r="B72" s="10" t="s">
        <v>256</v>
      </c>
      <c r="C72" s="10" t="s">
        <v>253</v>
      </c>
      <c r="D72" s="10" t="s">
        <v>257</v>
      </c>
      <c r="E72" s="10" t="s">
        <v>258</v>
      </c>
      <c r="F72" s="10"/>
      <c r="G72" s="11"/>
      <c r="H72" s="11"/>
    </row>
    <row r="73" customFormat="false" ht="23.85" hidden="false" customHeight="false" outlineLevel="0" collapsed="false">
      <c r="A73" s="10" t="s">
        <v>19</v>
      </c>
      <c r="B73" s="10" t="s">
        <v>259</v>
      </c>
      <c r="C73" s="10" t="s">
        <v>260</v>
      </c>
      <c r="D73" s="10" t="s">
        <v>261</v>
      </c>
      <c r="E73" s="10" t="s">
        <v>262</v>
      </c>
      <c r="F73" s="10"/>
      <c r="G73" s="11"/>
      <c r="H73" s="11"/>
    </row>
    <row r="74" customFormat="false" ht="23.85" hidden="false" customHeight="false" outlineLevel="0" collapsed="false">
      <c r="A74" s="10" t="s">
        <v>19</v>
      </c>
      <c r="B74" s="10" t="s">
        <v>263</v>
      </c>
      <c r="C74" s="10" t="s">
        <v>260</v>
      </c>
      <c r="D74" s="10" t="s">
        <v>264</v>
      </c>
      <c r="E74" s="10" t="s">
        <v>265</v>
      </c>
      <c r="F74" s="10"/>
      <c r="G74" s="11"/>
      <c r="H74" s="11"/>
    </row>
    <row r="75" customFormat="false" ht="46.25" hidden="false" customHeight="false" outlineLevel="0" collapsed="false">
      <c r="A75" s="10" t="s">
        <v>19</v>
      </c>
      <c r="B75" s="10" t="s">
        <v>266</v>
      </c>
      <c r="C75" s="10" t="s">
        <v>260</v>
      </c>
      <c r="D75" s="10" t="s">
        <v>267</v>
      </c>
      <c r="E75" s="10" t="s">
        <v>268</v>
      </c>
      <c r="F75" s="10"/>
      <c r="G75" s="11"/>
      <c r="H75" s="11"/>
    </row>
    <row r="76" customFormat="false" ht="35.05" hidden="false" customHeight="false" outlineLevel="0" collapsed="false">
      <c r="A76" s="10" t="s">
        <v>19</v>
      </c>
      <c r="B76" s="10" t="s">
        <v>269</v>
      </c>
      <c r="C76" s="10" t="s">
        <v>260</v>
      </c>
      <c r="D76" s="10" t="s">
        <v>270</v>
      </c>
      <c r="E76" s="10" t="s">
        <v>271</v>
      </c>
      <c r="F76" s="10"/>
      <c r="G76" s="11"/>
      <c r="H76" s="11"/>
    </row>
    <row r="77" customFormat="false" ht="35.05" hidden="false" customHeight="false" outlineLevel="0" collapsed="false">
      <c r="A77" s="10" t="s">
        <v>19</v>
      </c>
      <c r="B77" s="10" t="s">
        <v>272</v>
      </c>
      <c r="C77" s="10" t="s">
        <v>260</v>
      </c>
      <c r="D77" s="10" t="s">
        <v>273</v>
      </c>
      <c r="E77" s="10" t="s">
        <v>274</v>
      </c>
      <c r="F77" s="10"/>
      <c r="G77" s="11"/>
      <c r="H77" s="11"/>
    </row>
    <row r="78" customFormat="false" ht="46.25" hidden="false" customHeight="false" outlineLevel="0" collapsed="false">
      <c r="A78" s="10" t="s">
        <v>31</v>
      </c>
      <c r="B78" s="10" t="s">
        <v>275</v>
      </c>
      <c r="C78" s="10" t="s">
        <v>276</v>
      </c>
      <c r="D78" s="10" t="s">
        <v>277</v>
      </c>
      <c r="E78" s="10" t="s">
        <v>278</v>
      </c>
      <c r="F78" s="10"/>
      <c r="G78" s="11"/>
      <c r="H78" s="11"/>
    </row>
    <row r="79" customFormat="false" ht="46.25" hidden="false" customHeight="false" outlineLevel="0" collapsed="false">
      <c r="A79" s="10" t="s">
        <v>31</v>
      </c>
      <c r="B79" s="10" t="s">
        <v>279</v>
      </c>
      <c r="C79" s="10" t="s">
        <v>280</v>
      </c>
      <c r="D79" s="10" t="s">
        <v>281</v>
      </c>
      <c r="E79" s="10" t="s">
        <v>282</v>
      </c>
      <c r="F79" s="10"/>
      <c r="G79" s="11"/>
      <c r="H79" s="11"/>
    </row>
    <row r="80" customFormat="false" ht="46.25" hidden="false" customHeight="false" outlineLevel="0" collapsed="false">
      <c r="A80" s="10" t="s">
        <v>31</v>
      </c>
      <c r="B80" s="10" t="s">
        <v>283</v>
      </c>
      <c r="C80" s="10" t="s">
        <v>284</v>
      </c>
      <c r="D80" s="10" t="s">
        <v>285</v>
      </c>
      <c r="E80" s="10" t="s">
        <v>286</v>
      </c>
      <c r="F80" s="10"/>
      <c r="G80" s="11"/>
      <c r="H80" s="11"/>
    </row>
    <row r="81" customFormat="false" ht="46.25" hidden="false" customHeight="false" outlineLevel="0" collapsed="false">
      <c r="A81" s="10" t="s">
        <v>31</v>
      </c>
      <c r="B81" s="10" t="s">
        <v>287</v>
      </c>
      <c r="C81" s="10" t="s">
        <v>288</v>
      </c>
      <c r="D81" s="10" t="s">
        <v>289</v>
      </c>
      <c r="E81" s="10" t="s">
        <v>290</v>
      </c>
      <c r="F81" s="10"/>
      <c r="G81" s="11"/>
      <c r="H81" s="11"/>
    </row>
    <row r="82" customFormat="false" ht="46.25" hidden="false" customHeight="false" outlineLevel="0" collapsed="false">
      <c r="A82" s="10" t="s">
        <v>31</v>
      </c>
      <c r="B82" s="10" t="s">
        <v>291</v>
      </c>
      <c r="C82" s="10" t="s">
        <v>292</v>
      </c>
      <c r="D82" s="10" t="s">
        <v>293</v>
      </c>
      <c r="E82" s="10" t="s">
        <v>294</v>
      </c>
      <c r="F82" s="10"/>
      <c r="G82" s="11"/>
      <c r="H82" s="11"/>
    </row>
    <row r="83" customFormat="false" ht="46.25" hidden="false" customHeight="false" outlineLevel="0" collapsed="false">
      <c r="A83" s="10" t="s">
        <v>31</v>
      </c>
      <c r="B83" s="10" t="s">
        <v>295</v>
      </c>
      <c r="C83" s="10" t="s">
        <v>296</v>
      </c>
      <c r="D83" s="10" t="s">
        <v>297</v>
      </c>
      <c r="E83" s="10" t="s">
        <v>298</v>
      </c>
      <c r="F83" s="10"/>
      <c r="G83" s="11"/>
      <c r="H83" s="11"/>
    </row>
    <row r="84" customFormat="false" ht="46.25" hidden="false" customHeight="false" outlineLevel="0" collapsed="false">
      <c r="A84" s="10" t="s">
        <v>31</v>
      </c>
      <c r="B84" s="10" t="s">
        <v>299</v>
      </c>
      <c r="C84" s="10" t="s">
        <v>300</v>
      </c>
      <c r="D84" s="10" t="s">
        <v>301</v>
      </c>
      <c r="E84" s="10" t="s">
        <v>302</v>
      </c>
      <c r="F84" s="10"/>
      <c r="G84" s="11"/>
      <c r="H84" s="11"/>
    </row>
    <row r="85" customFormat="false" ht="35.05" hidden="false" customHeight="false" outlineLevel="0" collapsed="false">
      <c r="A85" s="10" t="s">
        <v>31</v>
      </c>
      <c r="B85" s="10" t="s">
        <v>303</v>
      </c>
      <c r="C85" s="10" t="s">
        <v>304</v>
      </c>
      <c r="D85" s="10" t="s">
        <v>305</v>
      </c>
      <c r="E85" s="10" t="s">
        <v>306</v>
      </c>
      <c r="F85" s="10"/>
      <c r="G85" s="11"/>
      <c r="H85" s="11"/>
    </row>
    <row r="86" customFormat="false" ht="46.25" hidden="false" customHeight="false" outlineLevel="0" collapsed="false">
      <c r="A86" s="10" t="s">
        <v>31</v>
      </c>
      <c r="B86" s="10" t="s">
        <v>307</v>
      </c>
      <c r="C86" s="10" t="s">
        <v>308</v>
      </c>
      <c r="D86" s="10" t="s">
        <v>309</v>
      </c>
      <c r="E86" s="10" t="s">
        <v>310</v>
      </c>
      <c r="F86" s="10"/>
      <c r="G86" s="11"/>
      <c r="H86" s="11"/>
    </row>
    <row r="87" customFormat="false" ht="35.05" hidden="false" customHeight="false" outlineLevel="0" collapsed="false">
      <c r="A87" s="10" t="s">
        <v>31</v>
      </c>
      <c r="B87" s="10" t="s">
        <v>311</v>
      </c>
      <c r="C87" s="10" t="s">
        <v>312</v>
      </c>
      <c r="D87" s="10" t="s">
        <v>313</v>
      </c>
      <c r="E87" s="10" t="s">
        <v>314</v>
      </c>
      <c r="F87" s="10"/>
      <c r="G87" s="11"/>
      <c r="H87" s="11"/>
    </row>
    <row r="88" customFormat="false" ht="35.05" hidden="false" customHeight="false" outlineLevel="0" collapsed="false">
      <c r="A88" s="10" t="s">
        <v>31</v>
      </c>
      <c r="B88" s="10" t="s">
        <v>315</v>
      </c>
      <c r="C88" s="10" t="s">
        <v>316</v>
      </c>
      <c r="D88" s="10" t="s">
        <v>317</v>
      </c>
      <c r="E88" s="10" t="s">
        <v>318</v>
      </c>
      <c r="F88" s="10"/>
      <c r="G88" s="11"/>
      <c r="H88" s="11"/>
    </row>
    <row r="89" customFormat="false" ht="35.05" hidden="false" customHeight="false" outlineLevel="0" collapsed="false">
      <c r="A89" s="10" t="s">
        <v>31</v>
      </c>
      <c r="B89" s="10" t="s">
        <v>319</v>
      </c>
      <c r="C89" s="10" t="s">
        <v>320</v>
      </c>
      <c r="D89" s="10" t="s">
        <v>321</v>
      </c>
      <c r="E89" s="10" t="s">
        <v>322</v>
      </c>
      <c r="F89" s="10"/>
      <c r="G89" s="11"/>
      <c r="H89" s="11"/>
    </row>
    <row r="90" customFormat="false" ht="35.05" hidden="false" customHeight="false" outlineLevel="0" collapsed="false">
      <c r="A90" s="10" t="s">
        <v>31</v>
      </c>
      <c r="B90" s="10" t="s">
        <v>323</v>
      </c>
      <c r="C90" s="10" t="s">
        <v>324</v>
      </c>
      <c r="D90" s="10" t="s">
        <v>325</v>
      </c>
      <c r="E90" s="10" t="s">
        <v>326</v>
      </c>
      <c r="F90" s="10"/>
      <c r="G90" s="11"/>
      <c r="H90" s="11"/>
    </row>
    <row r="91" customFormat="false" ht="35.05" hidden="false" customHeight="false" outlineLevel="0" collapsed="false">
      <c r="A91" s="10" t="s">
        <v>31</v>
      </c>
      <c r="B91" s="10" t="s">
        <v>327</v>
      </c>
      <c r="C91" s="10" t="s">
        <v>328</v>
      </c>
      <c r="D91" s="10" t="s">
        <v>329</v>
      </c>
      <c r="E91" s="10" t="s">
        <v>330</v>
      </c>
      <c r="F91" s="10"/>
      <c r="G91" s="11"/>
      <c r="H91" s="11"/>
    </row>
    <row r="92" customFormat="false" ht="46.25" hidden="false" customHeight="false" outlineLevel="0" collapsed="false">
      <c r="A92" s="10" t="s">
        <v>31</v>
      </c>
      <c r="B92" s="10" t="s">
        <v>331</v>
      </c>
      <c r="C92" s="10" t="s">
        <v>332</v>
      </c>
      <c r="D92" s="10" t="s">
        <v>333</v>
      </c>
      <c r="E92" s="10" t="s">
        <v>334</v>
      </c>
      <c r="F92" s="10"/>
      <c r="G92" s="11"/>
      <c r="H92" s="11"/>
    </row>
    <row r="93" customFormat="false" ht="46.25" hidden="false" customHeight="false" outlineLevel="0" collapsed="false">
      <c r="A93" s="10" t="s">
        <v>31</v>
      </c>
      <c r="B93" s="10" t="s">
        <v>335</v>
      </c>
      <c r="C93" s="10" t="s">
        <v>336</v>
      </c>
      <c r="D93" s="10" t="s">
        <v>337</v>
      </c>
      <c r="E93" s="10" t="s">
        <v>338</v>
      </c>
      <c r="F93" s="10"/>
      <c r="G93" s="11"/>
      <c r="H93" s="11"/>
    </row>
    <row r="94" customFormat="false" ht="35.05" hidden="false" customHeight="false" outlineLevel="0" collapsed="false">
      <c r="A94" s="10" t="s">
        <v>31</v>
      </c>
      <c r="B94" s="10" t="s">
        <v>339</v>
      </c>
      <c r="C94" s="10" t="s">
        <v>340</v>
      </c>
      <c r="D94" s="10" t="s">
        <v>341</v>
      </c>
      <c r="E94" s="10" t="s">
        <v>342</v>
      </c>
      <c r="F94" s="10"/>
      <c r="G94" s="11"/>
      <c r="H94" s="11"/>
    </row>
    <row r="95" customFormat="false" ht="35.05" hidden="false" customHeight="false" outlineLevel="0" collapsed="false">
      <c r="A95" s="10" t="s">
        <v>31</v>
      </c>
      <c r="B95" s="10" t="s">
        <v>343</v>
      </c>
      <c r="C95" s="10" t="s">
        <v>344</v>
      </c>
      <c r="D95" s="10" t="s">
        <v>345</v>
      </c>
      <c r="E95" s="10" t="s">
        <v>346</v>
      </c>
      <c r="F95" s="10"/>
      <c r="G95" s="11"/>
      <c r="H95" s="11"/>
    </row>
    <row r="96" customFormat="false" ht="35.05" hidden="false" customHeight="false" outlineLevel="0" collapsed="false">
      <c r="A96" s="10" t="s">
        <v>31</v>
      </c>
      <c r="B96" s="10" t="s">
        <v>347</v>
      </c>
      <c r="C96" s="10" t="s">
        <v>348</v>
      </c>
      <c r="D96" s="10" t="s">
        <v>349</v>
      </c>
      <c r="E96" s="10" t="s">
        <v>350</v>
      </c>
      <c r="F96" s="10"/>
      <c r="G96" s="11"/>
      <c r="H96" s="11"/>
    </row>
    <row r="97" customFormat="false" ht="35.05" hidden="false" customHeight="false" outlineLevel="0" collapsed="false">
      <c r="A97" s="10" t="s">
        <v>31</v>
      </c>
      <c r="B97" s="10" t="s">
        <v>351</v>
      </c>
      <c r="C97" s="10" t="s">
        <v>352</v>
      </c>
      <c r="D97" s="10" t="s">
        <v>353</v>
      </c>
      <c r="E97" s="10" t="s">
        <v>354</v>
      </c>
      <c r="F97" s="10"/>
      <c r="G97" s="11"/>
      <c r="H97" s="11"/>
    </row>
    <row r="98" customFormat="false" ht="46.25" hidden="false" customHeight="false" outlineLevel="0" collapsed="false">
      <c r="A98" s="10" t="s">
        <v>31</v>
      </c>
      <c r="B98" s="10" t="s">
        <v>355</v>
      </c>
      <c r="C98" s="10" t="s">
        <v>356</v>
      </c>
      <c r="D98" s="10" t="s">
        <v>357</v>
      </c>
      <c r="E98" s="10" t="s">
        <v>358</v>
      </c>
      <c r="F98" s="10"/>
      <c r="G98" s="11"/>
      <c r="H98" s="11"/>
    </row>
    <row r="99" customFormat="false" ht="35.05" hidden="false" customHeight="false" outlineLevel="0" collapsed="false">
      <c r="A99" s="10" t="s">
        <v>31</v>
      </c>
      <c r="B99" s="10" t="s">
        <v>359</v>
      </c>
      <c r="C99" s="10" t="s">
        <v>360</v>
      </c>
      <c r="D99" s="10" t="s">
        <v>361</v>
      </c>
      <c r="E99" s="10" t="s">
        <v>362</v>
      </c>
      <c r="F99" s="10"/>
      <c r="G99" s="11"/>
      <c r="H99" s="11"/>
    </row>
    <row r="100" customFormat="false" ht="35.05" hidden="false" customHeight="false" outlineLevel="0" collapsed="false">
      <c r="A100" s="10" t="s">
        <v>31</v>
      </c>
      <c r="B100" s="10" t="s">
        <v>363</v>
      </c>
      <c r="C100" s="10" t="s">
        <v>364</v>
      </c>
      <c r="D100" s="10" t="s">
        <v>365</v>
      </c>
      <c r="E100" s="10" t="s">
        <v>366</v>
      </c>
      <c r="F100" s="10"/>
      <c r="G100" s="11"/>
      <c r="H100" s="11"/>
    </row>
    <row r="101" customFormat="false" ht="46.25" hidden="false" customHeight="false" outlineLevel="0" collapsed="false">
      <c r="A101" s="10" t="s">
        <v>31</v>
      </c>
      <c r="B101" s="10" t="s">
        <v>367</v>
      </c>
      <c r="C101" s="10" t="s">
        <v>368</v>
      </c>
      <c r="D101" s="10" t="s">
        <v>369</v>
      </c>
      <c r="E101" s="10" t="s">
        <v>370</v>
      </c>
      <c r="F101" s="10"/>
      <c r="G101" s="11"/>
      <c r="H101" s="11"/>
    </row>
    <row r="102" customFormat="false" ht="35.05" hidden="false" customHeight="false" outlineLevel="0" collapsed="false">
      <c r="A102" s="10" t="s">
        <v>31</v>
      </c>
      <c r="B102" s="10" t="s">
        <v>371</v>
      </c>
      <c r="C102" s="10" t="s">
        <v>372</v>
      </c>
      <c r="D102" s="10" t="s">
        <v>373</v>
      </c>
      <c r="E102" s="10" t="s">
        <v>374</v>
      </c>
      <c r="F102" s="10"/>
      <c r="G102" s="11"/>
      <c r="H102" s="11"/>
    </row>
    <row r="103" customFormat="false" ht="46.25" hidden="false" customHeight="false" outlineLevel="0" collapsed="false">
      <c r="A103" s="10" t="s">
        <v>31</v>
      </c>
      <c r="B103" s="10" t="s">
        <v>375</v>
      </c>
      <c r="C103" s="10" t="s">
        <v>376</v>
      </c>
      <c r="D103" s="10" t="s">
        <v>377</v>
      </c>
      <c r="E103" s="10" t="s">
        <v>378</v>
      </c>
      <c r="F103" s="10"/>
      <c r="G103" s="11"/>
      <c r="H103" s="11"/>
    </row>
    <row r="104" customFormat="false" ht="35.05" hidden="false" customHeight="false" outlineLevel="0" collapsed="false">
      <c r="A104" s="10" t="s">
        <v>31</v>
      </c>
      <c r="B104" s="10" t="s">
        <v>379</v>
      </c>
      <c r="C104" s="10" t="s">
        <v>380</v>
      </c>
      <c r="D104" s="10" t="s">
        <v>381</v>
      </c>
      <c r="E104" s="10" t="s">
        <v>382</v>
      </c>
      <c r="F104" s="10"/>
      <c r="G104" s="11"/>
      <c r="H104" s="11"/>
    </row>
    <row r="105" customFormat="false" ht="35.05" hidden="false" customHeight="false" outlineLevel="0" collapsed="false">
      <c r="A105" s="10" t="s">
        <v>31</v>
      </c>
      <c r="B105" s="10" t="s">
        <v>383</v>
      </c>
      <c r="C105" s="10" t="s">
        <v>384</v>
      </c>
      <c r="D105" s="10" t="s">
        <v>385</v>
      </c>
      <c r="E105" s="10" t="s">
        <v>386</v>
      </c>
      <c r="F105" s="10"/>
      <c r="G105" s="11"/>
      <c r="H105" s="11"/>
    </row>
    <row r="106" customFormat="false" ht="57.45" hidden="false" customHeight="false" outlineLevel="0" collapsed="false">
      <c r="A106" s="10" t="s">
        <v>31</v>
      </c>
      <c r="B106" s="10" t="s">
        <v>387</v>
      </c>
      <c r="C106" s="10" t="s">
        <v>388</v>
      </c>
      <c r="D106" s="10" t="s">
        <v>389</v>
      </c>
      <c r="E106" s="10" t="s">
        <v>390</v>
      </c>
      <c r="F106" s="10"/>
      <c r="G106" s="11"/>
      <c r="H106" s="11"/>
    </row>
    <row r="107" customFormat="false" ht="46.25" hidden="false" customHeight="false" outlineLevel="0" collapsed="false">
      <c r="A107" s="10" t="s">
        <v>31</v>
      </c>
      <c r="B107" s="10" t="s">
        <v>391</v>
      </c>
      <c r="C107" s="10" t="s">
        <v>392</v>
      </c>
      <c r="D107" s="10" t="s">
        <v>393</v>
      </c>
      <c r="E107" s="10" t="s">
        <v>394</v>
      </c>
      <c r="F107" s="10"/>
      <c r="G107" s="11"/>
      <c r="H107" s="11"/>
    </row>
    <row r="108" customFormat="false" ht="35.05" hidden="false" customHeight="false" outlineLevel="0" collapsed="false">
      <c r="A108" s="10" t="s">
        <v>31</v>
      </c>
      <c r="B108" s="10" t="s">
        <v>395</v>
      </c>
      <c r="C108" s="10" t="s">
        <v>396</v>
      </c>
      <c r="D108" s="10" t="s">
        <v>397</v>
      </c>
      <c r="E108" s="10" t="s">
        <v>398</v>
      </c>
      <c r="F108" s="10"/>
      <c r="G108" s="11"/>
      <c r="H108" s="11"/>
    </row>
    <row r="109" customFormat="false" ht="23.85" hidden="false" customHeight="false" outlineLevel="0" collapsed="false">
      <c r="A109" s="10" t="s">
        <v>31</v>
      </c>
      <c r="B109" s="10" t="s">
        <v>399</v>
      </c>
      <c r="C109" s="10" t="s">
        <v>400</v>
      </c>
      <c r="D109" s="10" t="s">
        <v>401</v>
      </c>
      <c r="E109" s="10" t="s">
        <v>402</v>
      </c>
      <c r="F109" s="10"/>
      <c r="G109" s="11"/>
      <c r="H109" s="11"/>
    </row>
    <row r="110" customFormat="false" ht="46.25" hidden="false" customHeight="false" outlineLevel="0" collapsed="false">
      <c r="A110" s="10" t="s">
        <v>31</v>
      </c>
      <c r="B110" s="10" t="s">
        <v>403</v>
      </c>
      <c r="C110" s="10" t="s">
        <v>404</v>
      </c>
      <c r="D110" s="10" t="s">
        <v>405</v>
      </c>
      <c r="E110" s="10" t="s">
        <v>406</v>
      </c>
      <c r="F110" s="10"/>
      <c r="G110" s="11"/>
      <c r="H110" s="11"/>
    </row>
    <row r="111" customFormat="false" ht="35.05" hidden="false" customHeight="false" outlineLevel="0" collapsed="false">
      <c r="A111" s="10" t="s">
        <v>31</v>
      </c>
      <c r="B111" s="10" t="s">
        <v>407</v>
      </c>
      <c r="C111" s="10" t="s">
        <v>408</v>
      </c>
      <c r="D111" s="10" t="s">
        <v>409</v>
      </c>
      <c r="E111" s="10" t="s">
        <v>410</v>
      </c>
      <c r="F111" s="10"/>
      <c r="G111" s="11"/>
      <c r="H111" s="11"/>
    </row>
    <row r="112" customFormat="false" ht="46.25" hidden="false" customHeight="false" outlineLevel="0" collapsed="false">
      <c r="A112" s="10" t="s">
        <v>31</v>
      </c>
      <c r="B112" s="10" t="s">
        <v>411</v>
      </c>
      <c r="C112" s="10" t="s">
        <v>412</v>
      </c>
      <c r="D112" s="10" t="s">
        <v>413</v>
      </c>
      <c r="E112" s="10" t="s">
        <v>414</v>
      </c>
      <c r="F112" s="10"/>
      <c r="G112" s="11"/>
      <c r="H112" s="11"/>
    </row>
    <row r="113" customFormat="false" ht="23.85" hidden="false" customHeight="false" outlineLevel="0" collapsed="false">
      <c r="A113" s="10" t="s">
        <v>31</v>
      </c>
      <c r="B113" s="10" t="s">
        <v>415</v>
      </c>
      <c r="C113" s="10" t="s">
        <v>416</v>
      </c>
      <c r="D113" s="10" t="s">
        <v>417</v>
      </c>
      <c r="E113" s="10" t="s">
        <v>418</v>
      </c>
      <c r="F113" s="10"/>
      <c r="G113" s="11"/>
      <c r="H113" s="11"/>
    </row>
    <row r="114" customFormat="false" ht="46.25" hidden="false" customHeight="false" outlineLevel="0" collapsed="false">
      <c r="A114" s="10" t="s">
        <v>31</v>
      </c>
      <c r="B114" s="10" t="s">
        <v>419</v>
      </c>
      <c r="C114" s="10" t="s">
        <v>420</v>
      </c>
      <c r="D114" s="10" t="s">
        <v>421</v>
      </c>
      <c r="E114" s="10" t="s">
        <v>422</v>
      </c>
      <c r="F114" s="10"/>
      <c r="G114" s="11"/>
      <c r="H114" s="11"/>
    </row>
    <row r="115" customFormat="false" ht="35.05" hidden="false" customHeight="false" outlineLevel="0" collapsed="false">
      <c r="A115" s="10" t="s">
        <v>31</v>
      </c>
      <c r="B115" s="10" t="s">
        <v>423</v>
      </c>
      <c r="C115" s="10" t="s">
        <v>424</v>
      </c>
      <c r="D115" s="10" t="s">
        <v>425</v>
      </c>
      <c r="E115" s="10" t="s">
        <v>426</v>
      </c>
      <c r="F115" s="10"/>
      <c r="G115" s="11"/>
      <c r="H115" s="11"/>
    </row>
    <row r="116" customFormat="false" ht="35.05" hidden="false" customHeight="false" outlineLevel="0" collapsed="false">
      <c r="A116" s="10" t="s">
        <v>31</v>
      </c>
      <c r="B116" s="10" t="s">
        <v>427</v>
      </c>
      <c r="C116" s="10" t="s">
        <v>428</v>
      </c>
      <c r="D116" s="10" t="s">
        <v>429</v>
      </c>
      <c r="E116" s="10" t="s">
        <v>430</v>
      </c>
      <c r="F116" s="10"/>
      <c r="G116" s="11"/>
      <c r="H116" s="11"/>
    </row>
    <row r="117" customFormat="false" ht="35.05" hidden="false" customHeight="false" outlineLevel="0" collapsed="false">
      <c r="A117" s="10" t="s">
        <v>31</v>
      </c>
      <c r="B117" s="10" t="s">
        <v>431</v>
      </c>
      <c r="C117" s="10" t="s">
        <v>432</v>
      </c>
      <c r="D117" s="10" t="s">
        <v>433</v>
      </c>
      <c r="E117" s="10" t="s">
        <v>434</v>
      </c>
      <c r="F117" s="10"/>
      <c r="G117" s="11"/>
      <c r="H117" s="11"/>
    </row>
    <row r="118" customFormat="false" ht="35.05" hidden="false" customHeight="false" outlineLevel="0" collapsed="false">
      <c r="A118" s="10" t="s">
        <v>31</v>
      </c>
      <c r="B118" s="10" t="s">
        <v>435</v>
      </c>
      <c r="C118" s="10" t="s">
        <v>436</v>
      </c>
      <c r="D118" s="10" t="s">
        <v>437</v>
      </c>
      <c r="E118" s="10" t="s">
        <v>438</v>
      </c>
      <c r="F118" s="10"/>
      <c r="G118" s="11"/>
      <c r="H118" s="11"/>
    </row>
    <row r="119" customFormat="false" ht="46.25" hidden="false" customHeight="false" outlineLevel="0" collapsed="false">
      <c r="A119" s="10" t="s">
        <v>31</v>
      </c>
      <c r="B119" s="10" t="s">
        <v>439</v>
      </c>
      <c r="C119" s="10" t="s">
        <v>440</v>
      </c>
      <c r="D119" s="10" t="s">
        <v>441</v>
      </c>
      <c r="E119" s="10" t="s">
        <v>442</v>
      </c>
      <c r="F119" s="10"/>
      <c r="G119" s="11"/>
      <c r="H119" s="11"/>
    </row>
    <row r="120" customFormat="false" ht="46.25" hidden="false" customHeight="false" outlineLevel="0" collapsed="false">
      <c r="A120" s="10" t="s">
        <v>31</v>
      </c>
      <c r="B120" s="10" t="s">
        <v>443</v>
      </c>
      <c r="C120" s="10" t="s">
        <v>444</v>
      </c>
      <c r="D120" s="10" t="s">
        <v>445</v>
      </c>
      <c r="E120" s="10" t="s">
        <v>446</v>
      </c>
      <c r="F120" s="10"/>
      <c r="G120" s="11"/>
      <c r="H120" s="11"/>
    </row>
    <row r="121" customFormat="false" ht="35.05" hidden="false" customHeight="false" outlineLevel="0" collapsed="false">
      <c r="A121" s="10" t="s">
        <v>31</v>
      </c>
      <c r="B121" s="10" t="s">
        <v>447</v>
      </c>
      <c r="C121" s="10" t="s">
        <v>448</v>
      </c>
      <c r="D121" s="10" t="s">
        <v>449</v>
      </c>
      <c r="E121" s="10" t="s">
        <v>450</v>
      </c>
      <c r="F121" s="10"/>
      <c r="G121" s="11"/>
      <c r="H121" s="11"/>
    </row>
    <row r="122" customFormat="false" ht="35.05" hidden="false" customHeight="false" outlineLevel="0" collapsed="false">
      <c r="A122" s="10" t="s">
        <v>31</v>
      </c>
      <c r="B122" s="10" t="s">
        <v>451</v>
      </c>
      <c r="C122" s="10" t="s">
        <v>452</v>
      </c>
      <c r="D122" s="10" t="s">
        <v>453</v>
      </c>
      <c r="E122" s="10" t="s">
        <v>454</v>
      </c>
      <c r="F122" s="10"/>
      <c r="G122" s="11"/>
      <c r="H122" s="11"/>
    </row>
    <row r="123" customFormat="false" ht="35.05" hidden="false" customHeight="false" outlineLevel="0" collapsed="false">
      <c r="A123" s="10" t="s">
        <v>31</v>
      </c>
      <c r="B123" s="10" t="s">
        <v>455</v>
      </c>
      <c r="C123" s="10" t="s">
        <v>456</v>
      </c>
      <c r="D123" s="10" t="s">
        <v>457</v>
      </c>
      <c r="E123" s="10" t="s">
        <v>458</v>
      </c>
      <c r="F123" s="10"/>
      <c r="G123" s="11"/>
      <c r="H123" s="11"/>
    </row>
    <row r="124" customFormat="false" ht="46.25" hidden="false" customHeight="false" outlineLevel="0" collapsed="false">
      <c r="A124" s="10" t="s">
        <v>31</v>
      </c>
      <c r="B124" s="10" t="s">
        <v>459</v>
      </c>
      <c r="C124" s="10" t="s">
        <v>460</v>
      </c>
      <c r="D124" s="10" t="s">
        <v>461</v>
      </c>
      <c r="E124" s="10" t="s">
        <v>462</v>
      </c>
      <c r="F124" s="10"/>
      <c r="G124" s="11"/>
      <c r="H124" s="11"/>
    </row>
    <row r="125" customFormat="false" ht="46.25" hidden="false" customHeight="false" outlineLevel="0" collapsed="false">
      <c r="A125" s="10" t="s">
        <v>31</v>
      </c>
      <c r="B125" s="10" t="s">
        <v>463</v>
      </c>
      <c r="C125" s="10" t="s">
        <v>464</v>
      </c>
      <c r="D125" s="10" t="s">
        <v>465</v>
      </c>
      <c r="E125" s="10" t="s">
        <v>466</v>
      </c>
      <c r="F125" s="10"/>
      <c r="G125" s="11"/>
      <c r="H125" s="11"/>
    </row>
    <row r="126" customFormat="false" ht="35.05" hidden="false" customHeight="false" outlineLevel="0" collapsed="false">
      <c r="A126" s="10" t="s">
        <v>31</v>
      </c>
      <c r="B126" s="10" t="s">
        <v>467</v>
      </c>
      <c r="C126" s="10" t="s">
        <v>468</v>
      </c>
      <c r="D126" s="10" t="s">
        <v>469</v>
      </c>
      <c r="E126" s="10" t="s">
        <v>470</v>
      </c>
      <c r="F126" s="10"/>
      <c r="G126" s="11"/>
      <c r="H126" s="11"/>
    </row>
    <row r="127" customFormat="false" ht="23.85" hidden="false" customHeight="false" outlineLevel="0" collapsed="false">
      <c r="A127" s="10" t="s">
        <v>31</v>
      </c>
      <c r="B127" s="10" t="s">
        <v>471</v>
      </c>
      <c r="C127" s="10" t="s">
        <v>472</v>
      </c>
      <c r="D127" s="10" t="s">
        <v>473</v>
      </c>
      <c r="E127" s="10" t="s">
        <v>474</v>
      </c>
      <c r="F127" s="10"/>
      <c r="G127" s="11"/>
      <c r="H127" s="11"/>
    </row>
    <row r="128" customFormat="false" ht="23.85" hidden="false" customHeight="false" outlineLevel="0" collapsed="false">
      <c r="A128" s="10" t="s">
        <v>31</v>
      </c>
      <c r="B128" s="10" t="s">
        <v>475</v>
      </c>
      <c r="C128" s="10" t="s">
        <v>476</v>
      </c>
      <c r="D128" s="10" t="s">
        <v>477</v>
      </c>
      <c r="E128" s="10" t="s">
        <v>478</v>
      </c>
      <c r="F128" s="10"/>
      <c r="G128" s="11"/>
      <c r="H128" s="11"/>
    </row>
    <row r="129" customFormat="false" ht="35.05" hidden="false" customHeight="false" outlineLevel="0" collapsed="false">
      <c r="A129" s="10" t="s">
        <v>31</v>
      </c>
      <c r="B129" s="10" t="s">
        <v>479</v>
      </c>
      <c r="C129" s="10" t="s">
        <v>480</v>
      </c>
      <c r="D129" s="10" t="s">
        <v>481</v>
      </c>
      <c r="E129" s="10" t="s">
        <v>482</v>
      </c>
      <c r="F129" s="10"/>
      <c r="G129" s="11"/>
      <c r="H129" s="11"/>
    </row>
    <row r="130" customFormat="false" ht="46.25" hidden="false" customHeight="false" outlineLevel="0" collapsed="false">
      <c r="A130" s="10" t="s">
        <v>31</v>
      </c>
      <c r="B130" s="10" t="s">
        <v>483</v>
      </c>
      <c r="C130" s="10" t="s">
        <v>484</v>
      </c>
      <c r="D130" s="10" t="s">
        <v>485</v>
      </c>
      <c r="E130" s="10" t="s">
        <v>486</v>
      </c>
      <c r="F130" s="10"/>
      <c r="G130" s="11"/>
      <c r="H130" s="11"/>
    </row>
    <row r="131" customFormat="false" ht="35.05" hidden="false" customHeight="false" outlineLevel="0" collapsed="false">
      <c r="A131" s="10" t="s">
        <v>31</v>
      </c>
      <c r="B131" s="10" t="s">
        <v>487</v>
      </c>
      <c r="C131" s="10" t="s">
        <v>488</v>
      </c>
      <c r="D131" s="10" t="s">
        <v>489</v>
      </c>
      <c r="E131" s="10" t="s">
        <v>490</v>
      </c>
      <c r="F131" s="10"/>
      <c r="G131" s="11"/>
      <c r="H131" s="11"/>
    </row>
    <row r="132" customFormat="false" ht="46.25" hidden="false" customHeight="false" outlineLevel="0" collapsed="false">
      <c r="A132" s="10" t="s">
        <v>31</v>
      </c>
      <c r="B132" s="10" t="s">
        <v>491</v>
      </c>
      <c r="C132" s="10" t="s">
        <v>492</v>
      </c>
      <c r="D132" s="10" t="s">
        <v>493</v>
      </c>
      <c r="E132" s="10" t="s">
        <v>494</v>
      </c>
      <c r="F132" s="10"/>
      <c r="G132" s="11"/>
      <c r="H132" s="11"/>
    </row>
    <row r="133" customFormat="false" ht="35.05" hidden="false" customHeight="false" outlineLevel="0" collapsed="false">
      <c r="A133" s="10" t="s">
        <v>31</v>
      </c>
      <c r="B133" s="10" t="s">
        <v>495</v>
      </c>
      <c r="C133" s="10" t="s">
        <v>496</v>
      </c>
      <c r="D133" s="10" t="s">
        <v>497</v>
      </c>
      <c r="E133" s="10" t="s">
        <v>498</v>
      </c>
      <c r="F133" s="10"/>
      <c r="G133" s="11"/>
      <c r="H133" s="11"/>
    </row>
    <row r="134" customFormat="false" ht="35.05" hidden="false" customHeight="false" outlineLevel="0" collapsed="false">
      <c r="A134" s="10" t="s">
        <v>31</v>
      </c>
      <c r="B134" s="10" t="s">
        <v>499</v>
      </c>
      <c r="C134" s="10" t="s">
        <v>500</v>
      </c>
      <c r="D134" s="10" t="s">
        <v>501</v>
      </c>
      <c r="E134" s="10" t="s">
        <v>502</v>
      </c>
      <c r="F134" s="10"/>
      <c r="G134" s="11"/>
      <c r="H134" s="11"/>
    </row>
    <row r="135" customFormat="false" ht="23.85" hidden="false" customHeight="false" outlineLevel="0" collapsed="false">
      <c r="A135" s="10" t="s">
        <v>31</v>
      </c>
      <c r="B135" s="10" t="s">
        <v>503</v>
      </c>
      <c r="C135" s="10" t="s">
        <v>504</v>
      </c>
      <c r="D135" s="10" t="s">
        <v>505</v>
      </c>
      <c r="E135" s="10" t="s">
        <v>506</v>
      </c>
      <c r="F135" s="10"/>
      <c r="G135" s="11"/>
      <c r="H135" s="11"/>
    </row>
    <row r="136" customFormat="false" ht="23.85" hidden="false" customHeight="false" outlineLevel="0" collapsed="false">
      <c r="A136" s="10" t="s">
        <v>31</v>
      </c>
      <c r="B136" s="10" t="s">
        <v>507</v>
      </c>
      <c r="C136" s="10" t="s">
        <v>508</v>
      </c>
      <c r="D136" s="10" t="s">
        <v>509</v>
      </c>
      <c r="E136" s="10" t="s">
        <v>510</v>
      </c>
      <c r="F136" s="10"/>
      <c r="G136" s="11"/>
      <c r="H136" s="11"/>
    </row>
    <row r="137" customFormat="false" ht="35.05" hidden="false" customHeight="false" outlineLevel="0" collapsed="false">
      <c r="A137" s="10" t="s">
        <v>31</v>
      </c>
      <c r="B137" s="10" t="s">
        <v>511</v>
      </c>
      <c r="C137" s="10" t="s">
        <v>512</v>
      </c>
      <c r="D137" s="10" t="s">
        <v>513</v>
      </c>
      <c r="E137" s="10" t="s">
        <v>514</v>
      </c>
      <c r="F137" s="10"/>
      <c r="G137" s="11"/>
      <c r="H137" s="11"/>
    </row>
    <row r="138" customFormat="false" ht="23.85" hidden="false" customHeight="false" outlineLevel="0" collapsed="false">
      <c r="A138" s="10" t="s">
        <v>31</v>
      </c>
      <c r="B138" s="10" t="s">
        <v>515</v>
      </c>
      <c r="C138" s="10" t="s">
        <v>516</v>
      </c>
      <c r="D138" s="10" t="s">
        <v>517</v>
      </c>
      <c r="E138" s="10" t="s">
        <v>518</v>
      </c>
      <c r="F138" s="10"/>
      <c r="G138" s="11"/>
      <c r="H138" s="11"/>
    </row>
    <row r="139" customFormat="false" ht="35.05" hidden="false" customHeight="false" outlineLevel="0" collapsed="false">
      <c r="A139" s="10" t="s">
        <v>31</v>
      </c>
      <c r="B139" s="10" t="s">
        <v>519</v>
      </c>
      <c r="C139" s="10" t="s">
        <v>520</v>
      </c>
      <c r="D139" s="10" t="s">
        <v>521</v>
      </c>
      <c r="E139" s="10" t="s">
        <v>522</v>
      </c>
      <c r="F139" s="10"/>
      <c r="G139" s="11"/>
      <c r="H139" s="11"/>
    </row>
    <row r="140" customFormat="false" ht="35.05" hidden="false" customHeight="false" outlineLevel="0" collapsed="false">
      <c r="A140" s="10" t="s">
        <v>31</v>
      </c>
      <c r="B140" s="10" t="s">
        <v>523</v>
      </c>
      <c r="C140" s="10" t="s">
        <v>524</v>
      </c>
      <c r="D140" s="10" t="s">
        <v>525</v>
      </c>
      <c r="E140" s="10" t="s">
        <v>526</v>
      </c>
      <c r="F140" s="10"/>
      <c r="G140" s="11"/>
      <c r="H140" s="11"/>
    </row>
    <row r="141" customFormat="false" ht="35.05" hidden="false" customHeight="false" outlineLevel="0" collapsed="false">
      <c r="A141" s="10" t="s">
        <v>31</v>
      </c>
      <c r="B141" s="10" t="s">
        <v>527</v>
      </c>
      <c r="C141" s="10" t="s">
        <v>528</v>
      </c>
      <c r="D141" s="10" t="s">
        <v>529</v>
      </c>
      <c r="E141" s="10" t="s">
        <v>530</v>
      </c>
      <c r="F141" s="10"/>
      <c r="G141" s="11"/>
      <c r="H141" s="11"/>
    </row>
    <row r="142" customFormat="false" ht="35.05" hidden="false" customHeight="false" outlineLevel="0" collapsed="false">
      <c r="A142" s="10" t="s">
        <v>31</v>
      </c>
      <c r="B142" s="10" t="s">
        <v>531</v>
      </c>
      <c r="C142" s="10" t="s">
        <v>532</v>
      </c>
      <c r="D142" s="10" t="s">
        <v>533</v>
      </c>
      <c r="E142" s="10" t="s">
        <v>534</v>
      </c>
      <c r="F142" s="10"/>
      <c r="G142" s="11"/>
      <c r="H142" s="11"/>
    </row>
    <row r="143" customFormat="false" ht="35.05" hidden="false" customHeight="false" outlineLevel="0" collapsed="false">
      <c r="A143" s="10" t="s">
        <v>31</v>
      </c>
      <c r="B143" s="10" t="s">
        <v>535</v>
      </c>
      <c r="C143" s="10" t="s">
        <v>536</v>
      </c>
      <c r="D143" s="10" t="s">
        <v>537</v>
      </c>
      <c r="E143" s="10" t="s">
        <v>538</v>
      </c>
      <c r="F143" s="10"/>
      <c r="G143" s="11"/>
      <c r="H143" s="11"/>
    </row>
    <row r="144" customFormat="false" ht="35.05" hidden="false" customHeight="false" outlineLevel="0" collapsed="false">
      <c r="A144" s="10" t="s">
        <v>31</v>
      </c>
      <c r="B144" s="10" t="s">
        <v>539</v>
      </c>
      <c r="C144" s="10" t="s">
        <v>540</v>
      </c>
      <c r="D144" s="10" t="s">
        <v>541</v>
      </c>
      <c r="E144" s="10" t="s">
        <v>542</v>
      </c>
      <c r="F144" s="10"/>
      <c r="G144" s="11"/>
      <c r="H144" s="11"/>
    </row>
    <row r="145" customFormat="false" ht="46.25" hidden="false" customHeight="false" outlineLevel="0" collapsed="false">
      <c r="A145" s="10" t="s">
        <v>31</v>
      </c>
      <c r="B145" s="10" t="s">
        <v>543</v>
      </c>
      <c r="C145" s="10" t="s">
        <v>544</v>
      </c>
      <c r="D145" s="10" t="s">
        <v>545</v>
      </c>
      <c r="E145" s="10" t="s">
        <v>546</v>
      </c>
      <c r="F145" s="10"/>
      <c r="G145" s="11"/>
      <c r="H145" s="11"/>
    </row>
    <row r="146" customFormat="false" ht="35.05" hidden="false" customHeight="false" outlineLevel="0" collapsed="false">
      <c r="A146" s="10" t="s">
        <v>31</v>
      </c>
      <c r="B146" s="10" t="s">
        <v>547</v>
      </c>
      <c r="C146" s="10" t="s">
        <v>548</v>
      </c>
      <c r="D146" s="10" t="s">
        <v>549</v>
      </c>
      <c r="E146" s="10" t="s">
        <v>550</v>
      </c>
      <c r="F146" s="10"/>
      <c r="G146" s="11"/>
      <c r="H146" s="11"/>
    </row>
    <row r="147" customFormat="false" ht="23.85" hidden="false" customHeight="false" outlineLevel="0" collapsed="false">
      <c r="A147" s="10" t="s">
        <v>31</v>
      </c>
      <c r="B147" s="10" t="s">
        <v>551</v>
      </c>
      <c r="C147" s="10" t="s">
        <v>552</v>
      </c>
      <c r="D147" s="10" t="s">
        <v>553</v>
      </c>
      <c r="E147" s="10" t="s">
        <v>554</v>
      </c>
      <c r="F147" s="10"/>
      <c r="G147" s="11"/>
      <c r="H147" s="11"/>
    </row>
    <row r="148" customFormat="false" ht="35.05" hidden="false" customHeight="false" outlineLevel="0" collapsed="false">
      <c r="A148" s="10" t="s">
        <v>31</v>
      </c>
      <c r="B148" s="10" t="s">
        <v>555</v>
      </c>
      <c r="C148" s="10" t="s">
        <v>556</v>
      </c>
      <c r="D148" s="10" t="s">
        <v>557</v>
      </c>
      <c r="E148" s="10" t="s">
        <v>558</v>
      </c>
      <c r="F148" s="10"/>
      <c r="G148" s="11"/>
      <c r="H148" s="11"/>
    </row>
    <row r="149" customFormat="false" ht="46.25" hidden="false" customHeight="false" outlineLevel="0" collapsed="false">
      <c r="A149" s="10" t="s">
        <v>31</v>
      </c>
      <c r="B149" s="10" t="s">
        <v>559</v>
      </c>
      <c r="C149" s="10" t="s">
        <v>560</v>
      </c>
      <c r="D149" s="10" t="s">
        <v>561</v>
      </c>
      <c r="E149" s="10" t="s">
        <v>562</v>
      </c>
      <c r="F149" s="10"/>
      <c r="G149" s="11"/>
      <c r="H149" s="11"/>
    </row>
    <row r="150" customFormat="false" ht="35.05" hidden="false" customHeight="false" outlineLevel="0" collapsed="false">
      <c r="A150" s="10" t="s">
        <v>31</v>
      </c>
      <c r="B150" s="10" t="s">
        <v>563</v>
      </c>
      <c r="C150" s="10" t="s">
        <v>564</v>
      </c>
      <c r="D150" s="10" t="s">
        <v>565</v>
      </c>
      <c r="E150" s="10" t="s">
        <v>566</v>
      </c>
      <c r="F150" s="10"/>
      <c r="G150" s="11"/>
      <c r="H150" s="11"/>
    </row>
    <row r="151" customFormat="false" ht="35.05" hidden="false" customHeight="false" outlineLevel="0" collapsed="false">
      <c r="A151" s="10" t="s">
        <v>31</v>
      </c>
      <c r="B151" s="10" t="s">
        <v>567</v>
      </c>
      <c r="C151" s="10" t="s">
        <v>568</v>
      </c>
      <c r="D151" s="10" t="s">
        <v>569</v>
      </c>
      <c r="E151" s="10" t="s">
        <v>570</v>
      </c>
      <c r="F151" s="10"/>
      <c r="G151" s="11"/>
      <c r="H151" s="11"/>
    </row>
    <row r="152" customFormat="false" ht="35.05" hidden="false" customHeight="false" outlineLevel="0" collapsed="false">
      <c r="A152" s="10" t="s">
        <v>31</v>
      </c>
      <c r="B152" s="10" t="s">
        <v>571</v>
      </c>
      <c r="C152" s="10" t="s">
        <v>572</v>
      </c>
      <c r="D152" s="10" t="s">
        <v>573</v>
      </c>
      <c r="E152" s="10" t="s">
        <v>574</v>
      </c>
      <c r="F152" s="10"/>
      <c r="G152" s="11"/>
      <c r="H152" s="11"/>
    </row>
    <row r="153" customFormat="false" ht="35.05" hidden="false" customHeight="false" outlineLevel="0" collapsed="false">
      <c r="A153" s="10" t="s">
        <v>31</v>
      </c>
      <c r="B153" s="10" t="s">
        <v>575</v>
      </c>
      <c r="C153" s="10" t="s">
        <v>576</v>
      </c>
      <c r="D153" s="10" t="s">
        <v>577</v>
      </c>
      <c r="E153" s="10" t="s">
        <v>578</v>
      </c>
      <c r="F153" s="10"/>
      <c r="G153" s="11"/>
      <c r="H153" s="11"/>
    </row>
    <row r="154" customFormat="false" ht="23.85" hidden="false" customHeight="false" outlineLevel="0" collapsed="false">
      <c r="A154" s="10" t="s">
        <v>31</v>
      </c>
      <c r="B154" s="10" t="s">
        <v>579</v>
      </c>
      <c r="C154" s="10" t="s">
        <v>580</v>
      </c>
      <c r="D154" s="10" t="s">
        <v>581</v>
      </c>
      <c r="E154" s="10" t="s">
        <v>582</v>
      </c>
      <c r="F154" s="10"/>
      <c r="G154" s="11"/>
      <c r="H154" s="11"/>
    </row>
    <row r="155" customFormat="false" ht="23.85" hidden="false" customHeight="false" outlineLevel="0" collapsed="false">
      <c r="A155" s="10" t="s">
        <v>31</v>
      </c>
      <c r="B155" s="10" t="s">
        <v>583</v>
      </c>
      <c r="C155" s="10" t="s">
        <v>584</v>
      </c>
      <c r="D155" s="10" t="s">
        <v>585</v>
      </c>
      <c r="E155" s="10" t="s">
        <v>586</v>
      </c>
      <c r="F155" s="10"/>
      <c r="G155" s="11"/>
      <c r="H155" s="11"/>
    </row>
    <row r="156" customFormat="false" ht="23.85" hidden="false" customHeight="false" outlineLevel="0" collapsed="false">
      <c r="A156" s="10" t="s">
        <v>31</v>
      </c>
      <c r="B156" s="10" t="s">
        <v>587</v>
      </c>
      <c r="C156" s="10" t="s">
        <v>588</v>
      </c>
      <c r="D156" s="10" t="s">
        <v>589</v>
      </c>
      <c r="E156" s="10" t="s">
        <v>590</v>
      </c>
      <c r="F156" s="10"/>
      <c r="G156" s="11"/>
      <c r="H156" s="11"/>
    </row>
    <row r="157" customFormat="false" ht="35.05" hidden="false" customHeight="false" outlineLevel="0" collapsed="false">
      <c r="A157" s="10" t="s">
        <v>31</v>
      </c>
      <c r="B157" s="10" t="s">
        <v>591</v>
      </c>
      <c r="C157" s="10" t="s">
        <v>592</v>
      </c>
      <c r="D157" s="10" t="s">
        <v>593</v>
      </c>
      <c r="E157" s="10" t="s">
        <v>594</v>
      </c>
      <c r="F157" s="10"/>
      <c r="G157" s="11"/>
      <c r="H157" s="11"/>
    </row>
    <row r="158" customFormat="false" ht="46.25" hidden="false" customHeight="false" outlineLevel="0" collapsed="false">
      <c r="A158" s="10" t="s">
        <v>31</v>
      </c>
      <c r="B158" s="10" t="s">
        <v>595</v>
      </c>
      <c r="C158" s="10" t="s">
        <v>596</v>
      </c>
      <c r="D158" s="10" t="s">
        <v>597</v>
      </c>
      <c r="E158" s="10" t="s">
        <v>598</v>
      </c>
      <c r="F158" s="10"/>
      <c r="G158" s="11"/>
      <c r="H158" s="11"/>
    </row>
    <row r="159" customFormat="false" ht="23.85" hidden="false" customHeight="false" outlineLevel="0" collapsed="false">
      <c r="A159" s="10" t="s">
        <v>31</v>
      </c>
      <c r="B159" s="10" t="s">
        <v>599</v>
      </c>
      <c r="C159" s="10" t="s">
        <v>600</v>
      </c>
      <c r="D159" s="10" t="s">
        <v>601</v>
      </c>
      <c r="E159" s="10" t="s">
        <v>602</v>
      </c>
      <c r="F159" s="10"/>
      <c r="G159" s="11"/>
      <c r="H159" s="11"/>
    </row>
    <row r="160" customFormat="false" ht="35.05" hidden="false" customHeight="false" outlineLevel="0" collapsed="false">
      <c r="A160" s="10" t="s">
        <v>31</v>
      </c>
      <c r="B160" s="10" t="s">
        <v>603</v>
      </c>
      <c r="C160" s="10" t="s">
        <v>604</v>
      </c>
      <c r="D160" s="10" t="s">
        <v>605</v>
      </c>
      <c r="E160" s="10" t="s">
        <v>606</v>
      </c>
      <c r="F160" s="10"/>
      <c r="G160" s="11"/>
      <c r="H160" s="11"/>
    </row>
    <row r="161" customFormat="false" ht="35.05" hidden="false" customHeight="false" outlineLevel="0" collapsed="false">
      <c r="A161" s="10" t="s">
        <v>31</v>
      </c>
      <c r="B161" s="10" t="s">
        <v>607</v>
      </c>
      <c r="C161" s="10" t="s">
        <v>608</v>
      </c>
      <c r="D161" s="10" t="s">
        <v>609</v>
      </c>
      <c r="E161" s="10" t="s">
        <v>610</v>
      </c>
      <c r="F161" s="10"/>
      <c r="G161" s="11"/>
      <c r="H161" s="11"/>
    </row>
    <row r="162" customFormat="false" ht="35.05" hidden="false" customHeight="false" outlineLevel="0" collapsed="false">
      <c r="A162" s="10" t="s">
        <v>31</v>
      </c>
      <c r="B162" s="10" t="s">
        <v>611</v>
      </c>
      <c r="C162" s="10" t="s">
        <v>612</v>
      </c>
      <c r="D162" s="10" t="s">
        <v>613</v>
      </c>
      <c r="E162" s="10" t="s">
        <v>614</v>
      </c>
      <c r="F162" s="10"/>
      <c r="G162" s="11"/>
      <c r="H162" s="11"/>
    </row>
    <row r="163" customFormat="false" ht="35.05" hidden="false" customHeight="false" outlineLevel="0" collapsed="false">
      <c r="A163" s="10" t="s">
        <v>31</v>
      </c>
      <c r="B163" s="10" t="s">
        <v>615</v>
      </c>
      <c r="C163" s="10" t="s">
        <v>616</v>
      </c>
      <c r="D163" s="10" t="s">
        <v>617</v>
      </c>
      <c r="E163" s="10" t="s">
        <v>618</v>
      </c>
      <c r="F163" s="10"/>
      <c r="G163" s="11"/>
      <c r="H163" s="11"/>
    </row>
    <row r="164" customFormat="false" ht="35.05" hidden="false" customHeight="false" outlineLevel="0" collapsed="false">
      <c r="A164" s="10" t="s">
        <v>31</v>
      </c>
      <c r="B164" s="10" t="s">
        <v>619</v>
      </c>
      <c r="C164" s="10" t="s">
        <v>620</v>
      </c>
      <c r="D164" s="10" t="s">
        <v>621</v>
      </c>
      <c r="E164" s="10" t="s">
        <v>622</v>
      </c>
      <c r="F164" s="10"/>
      <c r="G164" s="11"/>
      <c r="H164" s="11"/>
    </row>
    <row r="165" customFormat="false" ht="46.25" hidden="false" customHeight="false" outlineLevel="0" collapsed="false">
      <c r="A165" s="10" t="s">
        <v>31</v>
      </c>
      <c r="B165" s="10" t="s">
        <v>623</v>
      </c>
      <c r="C165" s="10" t="s">
        <v>624</v>
      </c>
      <c r="D165" s="10" t="s">
        <v>625</v>
      </c>
      <c r="E165" s="10" t="s">
        <v>626</v>
      </c>
      <c r="F165" s="10"/>
      <c r="G165" s="11"/>
      <c r="H165" s="11"/>
    </row>
    <row r="166" customFormat="false" ht="35.05" hidden="false" customHeight="false" outlineLevel="0" collapsed="false">
      <c r="A166" s="10" t="s">
        <v>31</v>
      </c>
      <c r="B166" s="10" t="s">
        <v>627</v>
      </c>
      <c r="C166" s="10" t="s">
        <v>628</v>
      </c>
      <c r="D166" s="10" t="s">
        <v>629</v>
      </c>
      <c r="E166" s="10" t="s">
        <v>630</v>
      </c>
      <c r="F166" s="10"/>
      <c r="G166" s="11"/>
      <c r="H166" s="11"/>
    </row>
    <row r="167" customFormat="false" ht="23.85" hidden="false" customHeight="false" outlineLevel="0" collapsed="false">
      <c r="A167" s="10" t="s">
        <v>31</v>
      </c>
      <c r="B167" s="10" t="s">
        <v>631</v>
      </c>
      <c r="C167" s="10" t="s">
        <v>632</v>
      </c>
      <c r="D167" s="10" t="s">
        <v>633</v>
      </c>
      <c r="E167" s="10" t="s">
        <v>634</v>
      </c>
      <c r="F167" s="10"/>
      <c r="G167" s="11"/>
      <c r="H167" s="11"/>
    </row>
    <row r="168" customFormat="false" ht="35.05" hidden="false" customHeight="false" outlineLevel="0" collapsed="false">
      <c r="A168" s="10" t="s">
        <v>31</v>
      </c>
      <c r="B168" s="10" t="s">
        <v>635</v>
      </c>
      <c r="C168" s="10" t="s">
        <v>636</v>
      </c>
      <c r="D168" s="10" t="s">
        <v>637</v>
      </c>
      <c r="E168" s="10" t="s">
        <v>638</v>
      </c>
      <c r="F168" s="10"/>
      <c r="G168" s="11"/>
      <c r="H168" s="11"/>
    </row>
    <row r="169" customFormat="false" ht="23.85" hidden="false" customHeight="false" outlineLevel="0" collapsed="false">
      <c r="A169" s="10" t="s">
        <v>31</v>
      </c>
      <c r="B169" s="10" t="s">
        <v>639</v>
      </c>
      <c r="C169" s="10" t="s">
        <v>640</v>
      </c>
      <c r="D169" s="10" t="s">
        <v>641</v>
      </c>
      <c r="E169" s="10" t="s">
        <v>642</v>
      </c>
      <c r="F169" s="10"/>
      <c r="G169" s="11"/>
      <c r="H169" s="11"/>
    </row>
    <row r="170" customFormat="false" ht="35.05" hidden="false" customHeight="false" outlineLevel="0" collapsed="false">
      <c r="A170" s="10" t="s">
        <v>31</v>
      </c>
      <c r="B170" s="10" t="s">
        <v>643</v>
      </c>
      <c r="C170" s="10" t="s">
        <v>644</v>
      </c>
      <c r="D170" s="10" t="s">
        <v>645</v>
      </c>
      <c r="E170" s="10" t="s">
        <v>646</v>
      </c>
      <c r="F170" s="10"/>
      <c r="G170" s="11"/>
      <c r="H170" s="11"/>
    </row>
    <row r="171" customFormat="false" ht="23.85" hidden="false" customHeight="false" outlineLevel="0" collapsed="false">
      <c r="A171" s="10" t="s">
        <v>31</v>
      </c>
      <c r="B171" s="10" t="s">
        <v>647</v>
      </c>
      <c r="C171" s="10" t="s">
        <v>648</v>
      </c>
      <c r="D171" s="10" t="s">
        <v>649</v>
      </c>
      <c r="E171" s="10" t="s">
        <v>650</v>
      </c>
      <c r="F171" s="10"/>
      <c r="G171" s="11"/>
      <c r="H171" s="11"/>
    </row>
    <row r="172" customFormat="false" ht="23.85" hidden="false" customHeight="false" outlineLevel="0" collapsed="false">
      <c r="A172" s="10" t="s">
        <v>31</v>
      </c>
      <c r="B172" s="10" t="s">
        <v>651</v>
      </c>
      <c r="C172" s="10" t="s">
        <v>652</v>
      </c>
      <c r="D172" s="10" t="s">
        <v>653</v>
      </c>
      <c r="E172" s="10" t="s">
        <v>654</v>
      </c>
      <c r="F172" s="10"/>
      <c r="G172" s="11"/>
      <c r="H172" s="11"/>
    </row>
    <row r="173" customFormat="false" ht="35.05" hidden="false" customHeight="false" outlineLevel="0" collapsed="false">
      <c r="A173" s="10" t="s">
        <v>31</v>
      </c>
      <c r="B173" s="10" t="s">
        <v>655</v>
      </c>
      <c r="C173" s="10" t="s">
        <v>656</v>
      </c>
      <c r="D173" s="10" t="s">
        <v>657</v>
      </c>
      <c r="E173" s="10" t="s">
        <v>658</v>
      </c>
      <c r="F173" s="10"/>
      <c r="G173" s="11"/>
      <c r="H173" s="11"/>
    </row>
    <row r="174" customFormat="false" ht="35.05" hidden="false" customHeight="false" outlineLevel="0" collapsed="false">
      <c r="A174" s="10" t="s">
        <v>31</v>
      </c>
      <c r="B174" s="10" t="s">
        <v>659</v>
      </c>
      <c r="C174" s="10" t="s">
        <v>660</v>
      </c>
      <c r="D174" s="10" t="s">
        <v>661</v>
      </c>
      <c r="E174" s="10" t="s">
        <v>662</v>
      </c>
      <c r="F174" s="10"/>
      <c r="G174" s="11"/>
      <c r="H174" s="11"/>
    </row>
    <row r="175" customFormat="false" ht="23.85" hidden="false" customHeight="false" outlineLevel="0" collapsed="false">
      <c r="A175" s="10" t="s">
        <v>31</v>
      </c>
      <c r="B175" s="10" t="s">
        <v>663</v>
      </c>
      <c r="C175" s="10" t="s">
        <v>664</v>
      </c>
      <c r="D175" s="10" t="s">
        <v>665</v>
      </c>
      <c r="E175" s="10" t="s">
        <v>666</v>
      </c>
      <c r="F175" s="10"/>
      <c r="G175" s="11"/>
      <c r="H175" s="11"/>
    </row>
    <row r="176" customFormat="false" ht="23.85" hidden="false" customHeight="false" outlineLevel="0" collapsed="false">
      <c r="A176" s="10" t="s">
        <v>31</v>
      </c>
      <c r="B176" s="10" t="s">
        <v>667</v>
      </c>
      <c r="C176" s="10" t="s">
        <v>668</v>
      </c>
      <c r="D176" s="10" t="s">
        <v>669</v>
      </c>
      <c r="E176" s="10" t="s">
        <v>670</v>
      </c>
      <c r="F176" s="10"/>
      <c r="G176" s="11"/>
      <c r="H176" s="11"/>
    </row>
    <row r="177" customFormat="false" ht="35.05" hidden="false" customHeight="false" outlineLevel="0" collapsed="false">
      <c r="A177" s="10" t="s">
        <v>31</v>
      </c>
      <c r="B177" s="10" t="s">
        <v>671</v>
      </c>
      <c r="C177" s="10" t="s">
        <v>672</v>
      </c>
      <c r="D177" s="10" t="s">
        <v>673</v>
      </c>
      <c r="E177" s="10" t="s">
        <v>674</v>
      </c>
      <c r="F177" s="10"/>
      <c r="G177" s="11"/>
      <c r="H177" s="11"/>
    </row>
    <row r="178" customFormat="false" ht="35.05" hidden="false" customHeight="false" outlineLevel="0" collapsed="false">
      <c r="A178" s="10" t="s">
        <v>31</v>
      </c>
      <c r="B178" s="10" t="s">
        <v>675</v>
      </c>
      <c r="C178" s="10" t="s">
        <v>676</v>
      </c>
      <c r="D178" s="10" t="s">
        <v>677</v>
      </c>
      <c r="E178" s="10" t="s">
        <v>678</v>
      </c>
      <c r="F178" s="10"/>
      <c r="G178" s="11"/>
      <c r="H178" s="11"/>
    </row>
    <row r="179" customFormat="false" ht="35.05" hidden="false" customHeight="false" outlineLevel="0" collapsed="false">
      <c r="A179" s="10" t="s">
        <v>31</v>
      </c>
      <c r="B179" s="10" t="s">
        <v>679</v>
      </c>
      <c r="C179" s="10" t="s">
        <v>680</v>
      </c>
      <c r="D179" s="10" t="s">
        <v>681</v>
      </c>
      <c r="E179" s="10" t="s">
        <v>682</v>
      </c>
      <c r="F179" s="10"/>
      <c r="G179" s="11"/>
      <c r="H179" s="11"/>
    </row>
    <row r="180" customFormat="false" ht="35.05" hidden="false" customHeight="false" outlineLevel="0" collapsed="false">
      <c r="A180" s="10" t="s">
        <v>31</v>
      </c>
      <c r="B180" s="10" t="s">
        <v>683</v>
      </c>
      <c r="C180" s="10" t="s">
        <v>684</v>
      </c>
      <c r="D180" s="10" t="s">
        <v>685</v>
      </c>
      <c r="E180" s="10" t="s">
        <v>686</v>
      </c>
      <c r="F180" s="10"/>
      <c r="G180" s="11"/>
      <c r="H180" s="11"/>
    </row>
    <row r="181" customFormat="false" ht="35.05" hidden="false" customHeight="false" outlineLevel="0" collapsed="false">
      <c r="A181" s="10" t="s">
        <v>31</v>
      </c>
      <c r="B181" s="10" t="s">
        <v>687</v>
      </c>
      <c r="C181" s="10" t="s">
        <v>688</v>
      </c>
      <c r="D181" s="10" t="s">
        <v>689</v>
      </c>
      <c r="E181" s="10" t="s">
        <v>690</v>
      </c>
      <c r="F181" s="10"/>
      <c r="G181" s="11"/>
      <c r="H181" s="11"/>
    </row>
    <row r="182" customFormat="false" ht="35.05" hidden="false" customHeight="false" outlineLevel="0" collapsed="false">
      <c r="A182" s="10" t="s">
        <v>31</v>
      </c>
      <c r="B182" s="10" t="s">
        <v>691</v>
      </c>
      <c r="C182" s="10" t="s">
        <v>692</v>
      </c>
      <c r="D182" s="10" t="s">
        <v>693</v>
      </c>
      <c r="E182" s="10" t="s">
        <v>694</v>
      </c>
      <c r="F182" s="10"/>
      <c r="G182" s="11"/>
      <c r="H182" s="11"/>
    </row>
    <row r="183" customFormat="false" ht="35.05" hidden="false" customHeight="false" outlineLevel="0" collapsed="false">
      <c r="A183" s="10" t="s">
        <v>31</v>
      </c>
      <c r="B183" s="10" t="s">
        <v>695</v>
      </c>
      <c r="C183" s="10" t="s">
        <v>696</v>
      </c>
      <c r="D183" s="10" t="s">
        <v>697</v>
      </c>
      <c r="E183" s="10" t="s">
        <v>698</v>
      </c>
      <c r="F183" s="10"/>
      <c r="G183" s="11"/>
      <c r="H183" s="11"/>
    </row>
    <row r="184" customFormat="false" ht="35.05" hidden="false" customHeight="false" outlineLevel="0" collapsed="false">
      <c r="A184" s="10" t="s">
        <v>31</v>
      </c>
      <c r="B184" s="10" t="s">
        <v>699</v>
      </c>
      <c r="C184" s="10" t="s">
        <v>700</v>
      </c>
      <c r="D184" s="10" t="s">
        <v>701</v>
      </c>
      <c r="E184" s="10" t="s">
        <v>702</v>
      </c>
      <c r="F184" s="10"/>
      <c r="G184" s="11"/>
      <c r="H184" s="11"/>
    </row>
    <row r="185" customFormat="false" ht="35.05" hidden="false" customHeight="false" outlineLevel="0" collapsed="false">
      <c r="A185" s="10" t="s">
        <v>31</v>
      </c>
      <c r="B185" s="10" t="s">
        <v>703</v>
      </c>
      <c r="C185" s="10" t="s">
        <v>704</v>
      </c>
      <c r="D185" s="10" t="s">
        <v>705</v>
      </c>
      <c r="E185" s="10" t="s">
        <v>706</v>
      </c>
      <c r="F185" s="10"/>
      <c r="G185" s="11"/>
      <c r="H185" s="11"/>
    </row>
    <row r="186" customFormat="false" ht="35.05" hidden="false" customHeight="false" outlineLevel="0" collapsed="false">
      <c r="A186" s="10" t="s">
        <v>31</v>
      </c>
      <c r="B186" s="10" t="s">
        <v>707</v>
      </c>
      <c r="C186" s="10" t="s">
        <v>708</v>
      </c>
      <c r="D186" s="10" t="s">
        <v>709</v>
      </c>
      <c r="E186" s="10" t="s">
        <v>710</v>
      </c>
      <c r="F186" s="10"/>
      <c r="G186" s="11"/>
      <c r="H186" s="11"/>
    </row>
    <row r="187" customFormat="false" ht="35.05" hidden="false" customHeight="false" outlineLevel="0" collapsed="false">
      <c r="A187" s="10" t="s">
        <v>31</v>
      </c>
      <c r="B187" s="10" t="s">
        <v>711</v>
      </c>
      <c r="C187" s="10" t="s">
        <v>712</v>
      </c>
      <c r="D187" s="10" t="s">
        <v>713</v>
      </c>
      <c r="E187" s="10" t="s">
        <v>714</v>
      </c>
      <c r="F187" s="10"/>
      <c r="G187" s="11"/>
      <c r="H187" s="11"/>
    </row>
    <row r="188" customFormat="false" ht="46.25" hidden="false" customHeight="false" outlineLevel="0" collapsed="false">
      <c r="A188" s="10" t="s">
        <v>31</v>
      </c>
      <c r="B188" s="10" t="s">
        <v>715</v>
      </c>
      <c r="C188" s="10" t="s">
        <v>716</v>
      </c>
      <c r="D188" s="10" t="s">
        <v>717</v>
      </c>
      <c r="E188" s="10" t="s">
        <v>718</v>
      </c>
      <c r="F188" s="10"/>
      <c r="G188" s="11"/>
      <c r="H188" s="11"/>
    </row>
    <row r="189" customFormat="false" ht="35.05" hidden="false" customHeight="false" outlineLevel="0" collapsed="false">
      <c r="A189" s="10" t="s">
        <v>31</v>
      </c>
      <c r="B189" s="10" t="s">
        <v>719</v>
      </c>
      <c r="C189" s="10" t="s">
        <v>720</v>
      </c>
      <c r="D189" s="10" t="s">
        <v>721</v>
      </c>
      <c r="E189" s="10" t="s">
        <v>722</v>
      </c>
      <c r="F189" s="10"/>
      <c r="G189" s="11"/>
      <c r="H189" s="11"/>
    </row>
    <row r="190" customFormat="false" ht="35.05" hidden="false" customHeight="false" outlineLevel="0" collapsed="false">
      <c r="A190" s="10" t="s">
        <v>31</v>
      </c>
      <c r="B190" s="10" t="s">
        <v>723</v>
      </c>
      <c r="C190" s="10" t="s">
        <v>724</v>
      </c>
      <c r="D190" s="10" t="s">
        <v>725</v>
      </c>
      <c r="E190" s="10" t="s">
        <v>726</v>
      </c>
      <c r="F190" s="10"/>
      <c r="G190" s="11"/>
      <c r="H190" s="11"/>
    </row>
    <row r="191" customFormat="false" ht="35.05" hidden="false" customHeight="false" outlineLevel="0" collapsed="false">
      <c r="A191" s="10" t="s">
        <v>31</v>
      </c>
      <c r="B191" s="10" t="s">
        <v>727</v>
      </c>
      <c r="C191" s="10" t="s">
        <v>728</v>
      </c>
      <c r="D191" s="10" t="s">
        <v>729</v>
      </c>
      <c r="E191" s="10" t="s">
        <v>730</v>
      </c>
      <c r="F191" s="10"/>
      <c r="G191" s="11"/>
      <c r="H191" s="11"/>
    </row>
    <row r="192" customFormat="false" ht="35.05" hidden="false" customHeight="false" outlineLevel="0" collapsed="false">
      <c r="A192" s="10" t="s">
        <v>31</v>
      </c>
      <c r="B192" s="10" t="s">
        <v>731</v>
      </c>
      <c r="C192" s="10" t="s">
        <v>732</v>
      </c>
      <c r="D192" s="10" t="s">
        <v>733</v>
      </c>
      <c r="E192" s="10" t="s">
        <v>734</v>
      </c>
      <c r="F192" s="10"/>
      <c r="G192" s="11"/>
      <c r="H192" s="11"/>
    </row>
    <row r="193" customFormat="false" ht="35.05" hidden="false" customHeight="false" outlineLevel="0" collapsed="false">
      <c r="A193" s="10" t="s">
        <v>31</v>
      </c>
      <c r="B193" s="10" t="s">
        <v>735</v>
      </c>
      <c r="C193" s="10" t="s">
        <v>736</v>
      </c>
      <c r="D193" s="10" t="s">
        <v>737</v>
      </c>
      <c r="E193" s="10" t="s">
        <v>738</v>
      </c>
      <c r="F193" s="10"/>
      <c r="G193" s="11"/>
      <c r="H193" s="11"/>
    </row>
    <row r="194" customFormat="false" ht="35.05" hidden="false" customHeight="false" outlineLevel="0" collapsed="false">
      <c r="A194" s="10" t="s">
        <v>31</v>
      </c>
      <c r="B194" s="10" t="s">
        <v>739</v>
      </c>
      <c r="C194" s="10" t="s">
        <v>740</v>
      </c>
      <c r="D194" s="10" t="s">
        <v>741</v>
      </c>
      <c r="E194" s="10" t="s">
        <v>742</v>
      </c>
      <c r="F194" s="10"/>
      <c r="G194" s="11"/>
      <c r="H194" s="11"/>
    </row>
    <row r="195" customFormat="false" ht="35.05" hidden="false" customHeight="false" outlineLevel="0" collapsed="false">
      <c r="A195" s="10" t="s">
        <v>31</v>
      </c>
      <c r="B195" s="10" t="s">
        <v>743</v>
      </c>
      <c r="C195" s="10" t="s">
        <v>744</v>
      </c>
      <c r="D195" s="10" t="s">
        <v>745</v>
      </c>
      <c r="E195" s="10" t="s">
        <v>746</v>
      </c>
      <c r="F195" s="10"/>
      <c r="G195" s="11"/>
      <c r="H195" s="11"/>
    </row>
    <row r="196" customFormat="false" ht="23.85" hidden="false" customHeight="false" outlineLevel="0" collapsed="false">
      <c r="A196" s="10" t="s">
        <v>31</v>
      </c>
      <c r="B196" s="10" t="s">
        <v>747</v>
      </c>
      <c r="C196" s="10" t="s">
        <v>748</v>
      </c>
      <c r="D196" s="10" t="s">
        <v>749</v>
      </c>
      <c r="E196" s="10" t="s">
        <v>750</v>
      </c>
      <c r="F196" s="10"/>
      <c r="G196" s="11"/>
      <c r="H196" s="11"/>
    </row>
    <row r="197" customFormat="false" ht="35.05" hidden="false" customHeight="false" outlineLevel="0" collapsed="false">
      <c r="A197" s="10" t="s">
        <v>31</v>
      </c>
      <c r="B197" s="10" t="s">
        <v>751</v>
      </c>
      <c r="C197" s="10" t="s">
        <v>752</v>
      </c>
      <c r="D197" s="10" t="s">
        <v>753</v>
      </c>
      <c r="E197" s="10" t="s">
        <v>754</v>
      </c>
      <c r="F197" s="10"/>
      <c r="G197" s="11"/>
      <c r="H197" s="11"/>
    </row>
    <row r="198" customFormat="false" ht="35.05" hidden="false" customHeight="false" outlineLevel="0" collapsed="false">
      <c r="A198" s="10" t="s">
        <v>31</v>
      </c>
      <c r="B198" s="10" t="s">
        <v>755</v>
      </c>
      <c r="C198" s="10" t="s">
        <v>756</v>
      </c>
      <c r="D198" s="10" t="s">
        <v>757</v>
      </c>
      <c r="E198" s="10" t="s">
        <v>758</v>
      </c>
      <c r="F198" s="10"/>
      <c r="G198" s="11"/>
      <c r="H198" s="11"/>
    </row>
    <row r="199" customFormat="false" ht="35.05" hidden="false" customHeight="false" outlineLevel="0" collapsed="false">
      <c r="A199" s="10" t="s">
        <v>31</v>
      </c>
      <c r="B199" s="10" t="s">
        <v>759</v>
      </c>
      <c r="C199" s="10" t="s">
        <v>760</v>
      </c>
      <c r="D199" s="10" t="s">
        <v>761</v>
      </c>
      <c r="E199" s="10" t="s">
        <v>762</v>
      </c>
      <c r="F199" s="10"/>
      <c r="G199" s="11"/>
      <c r="H199" s="11"/>
    </row>
    <row r="200" customFormat="false" ht="35.05" hidden="false" customHeight="false" outlineLevel="0" collapsed="false">
      <c r="A200" s="10" t="s">
        <v>31</v>
      </c>
      <c r="B200" s="10" t="s">
        <v>763</v>
      </c>
      <c r="C200" s="10" t="s">
        <v>764</v>
      </c>
      <c r="D200" s="10" t="s">
        <v>765</v>
      </c>
      <c r="E200" s="10" t="s">
        <v>766</v>
      </c>
      <c r="F200" s="10"/>
      <c r="G200" s="11"/>
      <c r="H200" s="11"/>
    </row>
    <row r="201" customFormat="false" ht="46.25" hidden="false" customHeight="false" outlineLevel="0" collapsed="false">
      <c r="A201" s="10" t="s">
        <v>31</v>
      </c>
      <c r="B201" s="10" t="s">
        <v>767</v>
      </c>
      <c r="C201" s="10" t="s">
        <v>768</v>
      </c>
      <c r="D201" s="10" t="s">
        <v>769</v>
      </c>
      <c r="E201" s="10" t="s">
        <v>770</v>
      </c>
      <c r="F201" s="10"/>
      <c r="G201" s="11"/>
      <c r="H201" s="11"/>
    </row>
    <row r="202" customFormat="false" ht="35.05" hidden="false" customHeight="false" outlineLevel="0" collapsed="false">
      <c r="A202" s="10" t="s">
        <v>31</v>
      </c>
      <c r="B202" s="10" t="s">
        <v>771</v>
      </c>
      <c r="C202" s="10" t="s">
        <v>772</v>
      </c>
      <c r="D202" s="10" t="s">
        <v>773</v>
      </c>
      <c r="E202" s="10" t="s">
        <v>774</v>
      </c>
      <c r="F202" s="10"/>
      <c r="G202" s="11"/>
      <c r="H202" s="11"/>
    </row>
    <row r="203" customFormat="false" ht="46.25" hidden="false" customHeight="false" outlineLevel="0" collapsed="false">
      <c r="A203" s="10" t="s">
        <v>31</v>
      </c>
      <c r="B203" s="10" t="s">
        <v>775</v>
      </c>
      <c r="C203" s="10" t="s">
        <v>776</v>
      </c>
      <c r="D203" s="10" t="s">
        <v>777</v>
      </c>
      <c r="E203" s="10" t="s">
        <v>778</v>
      </c>
      <c r="F203" s="10"/>
      <c r="G203" s="11"/>
      <c r="H203" s="11"/>
    </row>
    <row r="204" customFormat="false" ht="23.85" hidden="false" customHeight="false" outlineLevel="0" collapsed="false">
      <c r="A204" s="10" t="s">
        <v>31</v>
      </c>
      <c r="B204" s="10" t="s">
        <v>779</v>
      </c>
      <c r="C204" s="10" t="s">
        <v>780</v>
      </c>
      <c r="D204" s="10" t="s">
        <v>781</v>
      </c>
      <c r="E204" s="10" t="s">
        <v>782</v>
      </c>
      <c r="F204" s="10"/>
      <c r="G204" s="11"/>
      <c r="H204" s="11"/>
    </row>
    <row r="205" customFormat="false" ht="35.05" hidden="false" customHeight="false" outlineLevel="0" collapsed="false">
      <c r="A205" s="10" t="s">
        <v>31</v>
      </c>
      <c r="B205" s="10" t="s">
        <v>783</v>
      </c>
      <c r="C205" s="10" t="s">
        <v>784</v>
      </c>
      <c r="D205" s="10" t="s">
        <v>785</v>
      </c>
      <c r="E205" s="10" t="s">
        <v>786</v>
      </c>
      <c r="F205" s="10"/>
      <c r="G205" s="11"/>
      <c r="H205" s="11"/>
    </row>
    <row r="206" customFormat="false" ht="35.05" hidden="false" customHeight="false" outlineLevel="0" collapsed="false">
      <c r="A206" s="10" t="s">
        <v>31</v>
      </c>
      <c r="B206" s="10" t="s">
        <v>787</v>
      </c>
      <c r="C206" s="10" t="s">
        <v>788</v>
      </c>
      <c r="D206" s="10" t="s">
        <v>789</v>
      </c>
      <c r="E206" s="10" t="s">
        <v>790</v>
      </c>
      <c r="F206" s="10"/>
      <c r="G206" s="11"/>
      <c r="H206" s="11"/>
    </row>
    <row r="207" customFormat="false" ht="23.85" hidden="false" customHeight="false" outlineLevel="0" collapsed="false">
      <c r="A207" s="10" t="s">
        <v>31</v>
      </c>
      <c r="B207" s="10" t="s">
        <v>791</v>
      </c>
      <c r="C207" s="10" t="s">
        <v>792</v>
      </c>
      <c r="D207" s="10" t="s">
        <v>793</v>
      </c>
      <c r="E207" s="10" t="s">
        <v>794</v>
      </c>
      <c r="F207" s="10"/>
      <c r="G207" s="11"/>
      <c r="H207" s="11"/>
    </row>
    <row r="208" customFormat="false" ht="35.05" hidden="false" customHeight="false" outlineLevel="0" collapsed="false">
      <c r="A208" s="10" t="s">
        <v>31</v>
      </c>
      <c r="B208" s="10" t="s">
        <v>795</v>
      </c>
      <c r="C208" s="10" t="s">
        <v>796</v>
      </c>
      <c r="D208" s="10" t="s">
        <v>797</v>
      </c>
      <c r="E208" s="10" t="s">
        <v>798</v>
      </c>
      <c r="F208" s="10"/>
      <c r="G208" s="11"/>
      <c r="H208" s="11"/>
    </row>
    <row r="209" customFormat="false" ht="23.85" hidden="false" customHeight="false" outlineLevel="0" collapsed="false">
      <c r="A209" s="10" t="s">
        <v>31</v>
      </c>
      <c r="B209" s="10" t="s">
        <v>799</v>
      </c>
      <c r="C209" s="10" t="s">
        <v>800</v>
      </c>
      <c r="D209" s="10" t="s">
        <v>801</v>
      </c>
      <c r="E209" s="10" t="s">
        <v>802</v>
      </c>
      <c r="F209" s="10"/>
      <c r="G209" s="11"/>
      <c r="H209" s="11"/>
    </row>
    <row r="210" customFormat="false" ht="23.85" hidden="false" customHeight="false" outlineLevel="0" collapsed="false">
      <c r="A210" s="10" t="s">
        <v>31</v>
      </c>
      <c r="B210" s="10" t="s">
        <v>803</v>
      </c>
      <c r="C210" s="10" t="s">
        <v>804</v>
      </c>
      <c r="D210" s="10" t="s">
        <v>805</v>
      </c>
      <c r="E210" s="10" t="s">
        <v>806</v>
      </c>
      <c r="F210" s="10"/>
      <c r="G210" s="11"/>
      <c r="H210" s="11"/>
    </row>
    <row r="211" customFormat="false" ht="35.05" hidden="false" customHeight="false" outlineLevel="0" collapsed="false">
      <c r="A211" s="10" t="s">
        <v>31</v>
      </c>
      <c r="B211" s="10" t="s">
        <v>807</v>
      </c>
      <c r="C211" s="10" t="s">
        <v>808</v>
      </c>
      <c r="D211" s="10" t="s">
        <v>809</v>
      </c>
      <c r="E211" s="10" t="s">
        <v>810</v>
      </c>
      <c r="F211" s="10"/>
      <c r="G211" s="11"/>
      <c r="H211" s="11"/>
    </row>
    <row r="212" customFormat="false" ht="35.05" hidden="false" customHeight="false" outlineLevel="0" collapsed="false">
      <c r="A212" s="10" t="s">
        <v>31</v>
      </c>
      <c r="B212" s="10" t="s">
        <v>811</v>
      </c>
      <c r="C212" s="10" t="s">
        <v>812</v>
      </c>
      <c r="D212" s="10" t="s">
        <v>813</v>
      </c>
      <c r="E212" s="10" t="s">
        <v>814</v>
      </c>
      <c r="F212" s="10"/>
      <c r="G212" s="11"/>
      <c r="H212" s="11"/>
    </row>
    <row r="213" customFormat="false" ht="35.05" hidden="false" customHeight="false" outlineLevel="0" collapsed="false">
      <c r="A213" s="10" t="s">
        <v>31</v>
      </c>
      <c r="B213" s="10" t="s">
        <v>815</v>
      </c>
      <c r="C213" s="10" t="s">
        <v>816</v>
      </c>
      <c r="D213" s="10" t="s">
        <v>817</v>
      </c>
      <c r="E213" s="10" t="s">
        <v>818</v>
      </c>
      <c r="F213" s="10"/>
      <c r="G213" s="11"/>
      <c r="H213" s="11"/>
    </row>
    <row r="214" customFormat="false" ht="35.05" hidden="false" customHeight="false" outlineLevel="0" collapsed="false">
      <c r="A214" s="10" t="s">
        <v>31</v>
      </c>
      <c r="B214" s="10" t="s">
        <v>819</v>
      </c>
      <c r="C214" s="10" t="s">
        <v>820</v>
      </c>
      <c r="D214" s="10" t="s">
        <v>821</v>
      </c>
      <c r="E214" s="10" t="s">
        <v>822</v>
      </c>
      <c r="F214" s="10"/>
      <c r="G214" s="11"/>
      <c r="H214" s="11"/>
    </row>
    <row r="215" customFormat="false" ht="35.05" hidden="false" customHeight="false" outlineLevel="0" collapsed="false">
      <c r="A215" s="10" t="s">
        <v>31</v>
      </c>
      <c r="B215" s="10" t="s">
        <v>823</v>
      </c>
      <c r="C215" s="10" t="s">
        <v>824</v>
      </c>
      <c r="D215" s="10" t="s">
        <v>825</v>
      </c>
      <c r="E215" s="10" t="s">
        <v>826</v>
      </c>
      <c r="F215" s="10"/>
      <c r="G215" s="11"/>
      <c r="H215" s="11"/>
    </row>
    <row r="216" customFormat="false" ht="35.05" hidden="false" customHeight="false" outlineLevel="0" collapsed="false">
      <c r="A216" s="10" t="s">
        <v>31</v>
      </c>
      <c r="B216" s="10" t="s">
        <v>827</v>
      </c>
      <c r="C216" s="10" t="s">
        <v>828</v>
      </c>
      <c r="D216" s="10" t="s">
        <v>829</v>
      </c>
      <c r="E216" s="10" t="s">
        <v>830</v>
      </c>
      <c r="F216" s="10"/>
      <c r="G216" s="11"/>
      <c r="H216" s="11"/>
    </row>
    <row r="217" customFormat="false" ht="23.85" hidden="false" customHeight="false" outlineLevel="0" collapsed="false">
      <c r="A217" s="10" t="s">
        <v>31</v>
      </c>
      <c r="B217" s="10" t="s">
        <v>831</v>
      </c>
      <c r="C217" s="10" t="s">
        <v>832</v>
      </c>
      <c r="D217" s="10" t="s">
        <v>833</v>
      </c>
      <c r="E217" s="10" t="s">
        <v>834</v>
      </c>
      <c r="F217" s="10"/>
      <c r="G217" s="11"/>
      <c r="H217" s="11"/>
    </row>
    <row r="218" customFormat="false" ht="35.05" hidden="false" customHeight="false" outlineLevel="0" collapsed="false">
      <c r="A218" s="10" t="s">
        <v>31</v>
      </c>
      <c r="B218" s="10" t="s">
        <v>835</v>
      </c>
      <c r="C218" s="10" t="s">
        <v>836</v>
      </c>
      <c r="D218" s="10" t="s">
        <v>837</v>
      </c>
      <c r="E218" s="10" t="s">
        <v>838</v>
      </c>
      <c r="F218" s="10"/>
      <c r="G218" s="11"/>
      <c r="H218" s="11"/>
    </row>
    <row r="219" customFormat="false" ht="35.05" hidden="false" customHeight="false" outlineLevel="0" collapsed="false">
      <c r="A219" s="10" t="s">
        <v>31</v>
      </c>
      <c r="B219" s="10" t="s">
        <v>839</v>
      </c>
      <c r="C219" s="10" t="s">
        <v>840</v>
      </c>
      <c r="D219" s="10" t="s">
        <v>841</v>
      </c>
      <c r="E219" s="10" t="s">
        <v>842</v>
      </c>
      <c r="F219" s="10"/>
      <c r="G219" s="11"/>
      <c r="H219" s="11"/>
    </row>
    <row r="220" customFormat="false" ht="35.05" hidden="false" customHeight="false" outlineLevel="0" collapsed="false">
      <c r="A220" s="10" t="s">
        <v>31</v>
      </c>
      <c r="B220" s="10" t="s">
        <v>843</v>
      </c>
      <c r="C220" s="10" t="s">
        <v>844</v>
      </c>
      <c r="D220" s="10" t="s">
        <v>845</v>
      </c>
      <c r="E220" s="10" t="s">
        <v>846</v>
      </c>
      <c r="F220" s="10"/>
      <c r="G220" s="11"/>
      <c r="H220" s="11"/>
    </row>
    <row r="221" customFormat="false" ht="35.05" hidden="false" customHeight="false" outlineLevel="0" collapsed="false">
      <c r="A221" s="10" t="s">
        <v>31</v>
      </c>
      <c r="B221" s="10" t="s">
        <v>847</v>
      </c>
      <c r="C221" s="10" t="s">
        <v>848</v>
      </c>
      <c r="D221" s="10" t="s">
        <v>849</v>
      </c>
      <c r="E221" s="10" t="s">
        <v>850</v>
      </c>
      <c r="F221" s="10"/>
      <c r="G221" s="11"/>
      <c r="H221" s="11"/>
    </row>
    <row r="222" customFormat="false" ht="35.05" hidden="false" customHeight="false" outlineLevel="0" collapsed="false">
      <c r="A222" s="10" t="s">
        <v>31</v>
      </c>
      <c r="B222" s="10" t="s">
        <v>851</v>
      </c>
      <c r="C222" s="10" t="s">
        <v>852</v>
      </c>
      <c r="D222" s="10" t="s">
        <v>853</v>
      </c>
      <c r="E222" s="10" t="s">
        <v>854</v>
      </c>
      <c r="F222" s="10"/>
      <c r="G222" s="11"/>
      <c r="H222" s="11"/>
    </row>
    <row r="223" customFormat="false" ht="35.05" hidden="false" customHeight="false" outlineLevel="0" collapsed="false">
      <c r="A223" s="10" t="s">
        <v>31</v>
      </c>
      <c r="B223" s="10" t="s">
        <v>855</v>
      </c>
      <c r="C223" s="10" t="s">
        <v>856</v>
      </c>
      <c r="D223" s="10" t="s">
        <v>857</v>
      </c>
      <c r="E223" s="10" t="s">
        <v>858</v>
      </c>
      <c r="F223" s="10"/>
      <c r="G223" s="11"/>
      <c r="H223" s="11"/>
    </row>
    <row r="224" customFormat="false" ht="35.05" hidden="false" customHeight="false" outlineLevel="0" collapsed="false">
      <c r="A224" s="10" t="s">
        <v>31</v>
      </c>
      <c r="B224" s="10" t="s">
        <v>859</v>
      </c>
      <c r="C224" s="10" t="s">
        <v>860</v>
      </c>
      <c r="D224" s="10" t="s">
        <v>861</v>
      </c>
      <c r="E224" s="10" t="s">
        <v>862</v>
      </c>
      <c r="F224" s="10"/>
      <c r="G224" s="11"/>
      <c r="H224" s="11"/>
    </row>
    <row r="225" customFormat="false" ht="23.85" hidden="false" customHeight="false" outlineLevel="0" collapsed="false">
      <c r="A225" s="10" t="s">
        <v>31</v>
      </c>
      <c r="B225" s="10" t="s">
        <v>863</v>
      </c>
      <c r="C225" s="10" t="s">
        <v>864</v>
      </c>
      <c r="D225" s="10" t="s">
        <v>865</v>
      </c>
      <c r="E225" s="10" t="s">
        <v>866</v>
      </c>
      <c r="F225" s="10"/>
      <c r="G225" s="11"/>
      <c r="H225" s="11"/>
    </row>
    <row r="226" customFormat="false" ht="23.85" hidden="false" customHeight="false" outlineLevel="0" collapsed="false">
      <c r="A226" s="10" t="s">
        <v>31</v>
      </c>
      <c r="B226" s="10" t="s">
        <v>867</v>
      </c>
      <c r="C226" s="10" t="s">
        <v>868</v>
      </c>
      <c r="D226" s="10" t="s">
        <v>869</v>
      </c>
      <c r="E226" s="10" t="s">
        <v>870</v>
      </c>
      <c r="F226" s="10"/>
      <c r="G226" s="11"/>
      <c r="H226" s="11"/>
    </row>
    <row r="227" customFormat="false" ht="35.05" hidden="false" customHeight="false" outlineLevel="0" collapsed="false">
      <c r="A227" s="10" t="s">
        <v>31</v>
      </c>
      <c r="B227" s="10" t="s">
        <v>871</v>
      </c>
      <c r="C227" s="10" t="s">
        <v>872</v>
      </c>
      <c r="D227" s="10" t="s">
        <v>873</v>
      </c>
      <c r="E227" s="10" t="s">
        <v>874</v>
      </c>
      <c r="F227" s="10"/>
      <c r="G227" s="11"/>
      <c r="H227" s="11"/>
    </row>
    <row r="228" customFormat="false" ht="23.85" hidden="false" customHeight="false" outlineLevel="0" collapsed="false">
      <c r="A228" s="10" t="s">
        <v>31</v>
      </c>
      <c r="B228" s="10" t="s">
        <v>875</v>
      </c>
      <c r="C228" s="10" t="s">
        <v>876</v>
      </c>
      <c r="D228" s="10" t="s">
        <v>877</v>
      </c>
      <c r="E228" s="10" t="s">
        <v>878</v>
      </c>
      <c r="F228" s="10"/>
      <c r="G228" s="11"/>
      <c r="H228" s="11"/>
    </row>
    <row r="229" customFormat="false" ht="35.05" hidden="false" customHeight="false" outlineLevel="0" collapsed="false">
      <c r="A229" s="10" t="s">
        <v>31</v>
      </c>
      <c r="B229" s="10" t="s">
        <v>879</v>
      </c>
      <c r="C229" s="10" t="s">
        <v>880</v>
      </c>
      <c r="D229" s="10" t="s">
        <v>881</v>
      </c>
      <c r="E229" s="10" t="s">
        <v>882</v>
      </c>
      <c r="F229" s="10"/>
      <c r="G229" s="11"/>
      <c r="H229" s="11"/>
    </row>
    <row r="230" customFormat="false" ht="23.85" hidden="false" customHeight="false" outlineLevel="0" collapsed="false">
      <c r="A230" s="10" t="s">
        <v>31</v>
      </c>
      <c r="B230" s="10" t="s">
        <v>883</v>
      </c>
      <c r="C230" s="10" t="s">
        <v>884</v>
      </c>
      <c r="D230" s="10" t="s">
        <v>885</v>
      </c>
      <c r="E230" s="10" t="s">
        <v>886</v>
      </c>
      <c r="F230" s="10"/>
      <c r="G230" s="11"/>
      <c r="H230" s="11"/>
    </row>
    <row r="231" customFormat="false" ht="35.05" hidden="false" customHeight="false" outlineLevel="0" collapsed="false">
      <c r="A231" s="10" t="s">
        <v>31</v>
      </c>
      <c r="B231" s="10" t="s">
        <v>887</v>
      </c>
      <c r="C231" s="10" t="s">
        <v>888</v>
      </c>
      <c r="D231" s="10" t="s">
        <v>889</v>
      </c>
      <c r="E231" s="10" t="s">
        <v>890</v>
      </c>
      <c r="F231" s="10"/>
      <c r="G231" s="11"/>
      <c r="H231" s="11"/>
    </row>
    <row r="232" customFormat="false" ht="35.05" hidden="false" customHeight="false" outlineLevel="0" collapsed="false">
      <c r="A232" s="10" t="s">
        <v>31</v>
      </c>
      <c r="B232" s="10" t="s">
        <v>891</v>
      </c>
      <c r="C232" s="10" t="s">
        <v>892</v>
      </c>
      <c r="D232" s="10" t="s">
        <v>893</v>
      </c>
      <c r="E232" s="10" t="s">
        <v>894</v>
      </c>
      <c r="F232" s="10"/>
      <c r="G232" s="11"/>
      <c r="H232" s="11"/>
    </row>
    <row r="233" customFormat="false" ht="35.05" hidden="false" customHeight="false" outlineLevel="0" collapsed="false">
      <c r="A233" s="10" t="s">
        <v>31</v>
      </c>
      <c r="B233" s="10" t="s">
        <v>895</v>
      </c>
      <c r="C233" s="10" t="s">
        <v>896</v>
      </c>
      <c r="D233" s="10" t="s">
        <v>897</v>
      </c>
      <c r="E233" s="10" t="s">
        <v>898</v>
      </c>
      <c r="F233" s="10"/>
      <c r="G233" s="11"/>
      <c r="H233" s="11"/>
    </row>
    <row r="234" customFormat="false" ht="35.05" hidden="false" customHeight="false" outlineLevel="0" collapsed="false">
      <c r="A234" s="10" t="s">
        <v>31</v>
      </c>
      <c r="B234" s="10" t="s">
        <v>899</v>
      </c>
      <c r="C234" s="10" t="s">
        <v>900</v>
      </c>
      <c r="D234" s="10" t="s">
        <v>901</v>
      </c>
      <c r="E234" s="10" t="s">
        <v>902</v>
      </c>
      <c r="F234" s="10"/>
      <c r="G234" s="11"/>
      <c r="H234" s="11"/>
    </row>
    <row r="235" customFormat="false" ht="35.05" hidden="false" customHeight="false" outlineLevel="0" collapsed="false">
      <c r="A235" s="10" t="s">
        <v>31</v>
      </c>
      <c r="B235" s="10" t="s">
        <v>903</v>
      </c>
      <c r="C235" s="10" t="s">
        <v>904</v>
      </c>
      <c r="D235" s="10" t="s">
        <v>905</v>
      </c>
      <c r="E235" s="10" t="s">
        <v>906</v>
      </c>
      <c r="F235" s="10"/>
      <c r="G235" s="11"/>
      <c r="H235" s="11"/>
    </row>
    <row r="236" customFormat="false" ht="35.05" hidden="false" customHeight="false" outlineLevel="0" collapsed="false">
      <c r="A236" s="10" t="s">
        <v>31</v>
      </c>
      <c r="B236" s="10" t="s">
        <v>907</v>
      </c>
      <c r="C236" s="10" t="s">
        <v>908</v>
      </c>
      <c r="D236" s="10" t="s">
        <v>909</v>
      </c>
      <c r="E236" s="10" t="s">
        <v>910</v>
      </c>
      <c r="F236" s="10"/>
      <c r="G236" s="11"/>
      <c r="H236" s="11"/>
    </row>
    <row r="237" customFormat="false" ht="46.25" hidden="false" customHeight="false" outlineLevel="0" collapsed="false">
      <c r="A237" s="10" t="s">
        <v>31</v>
      </c>
      <c r="B237" s="10" t="s">
        <v>911</v>
      </c>
      <c r="C237" s="10" t="s">
        <v>912</v>
      </c>
      <c r="D237" s="10" t="s">
        <v>913</v>
      </c>
      <c r="E237" s="10" t="s">
        <v>914</v>
      </c>
      <c r="F237" s="10"/>
      <c r="G237" s="11"/>
      <c r="H237" s="11"/>
    </row>
    <row r="238" customFormat="false" ht="35.05" hidden="false" customHeight="false" outlineLevel="0" collapsed="false">
      <c r="A238" s="10" t="s">
        <v>31</v>
      </c>
      <c r="B238" s="10" t="s">
        <v>915</v>
      </c>
      <c r="C238" s="10" t="s">
        <v>916</v>
      </c>
      <c r="D238" s="10" t="s">
        <v>917</v>
      </c>
      <c r="E238" s="10" t="s">
        <v>918</v>
      </c>
      <c r="F238" s="10"/>
      <c r="G238" s="11"/>
      <c r="H238" s="11"/>
    </row>
    <row r="239" customFormat="false" ht="35.05" hidden="false" customHeight="false" outlineLevel="0" collapsed="false">
      <c r="A239" s="10" t="s">
        <v>31</v>
      </c>
      <c r="B239" s="10" t="s">
        <v>919</v>
      </c>
      <c r="C239" s="10" t="s">
        <v>920</v>
      </c>
      <c r="D239" s="10" t="s">
        <v>921</v>
      </c>
      <c r="E239" s="10" t="s">
        <v>922</v>
      </c>
      <c r="F239" s="10"/>
      <c r="G239" s="11"/>
      <c r="H239" s="11"/>
    </row>
    <row r="240" customFormat="false" ht="35.05" hidden="false" customHeight="false" outlineLevel="0" collapsed="false">
      <c r="A240" s="10" t="s">
        <v>31</v>
      </c>
      <c r="B240" s="10" t="s">
        <v>923</v>
      </c>
      <c r="C240" s="10" t="s">
        <v>924</v>
      </c>
      <c r="D240" s="10" t="s">
        <v>925</v>
      </c>
      <c r="E240" s="10" t="s">
        <v>926</v>
      </c>
      <c r="F240" s="10"/>
      <c r="G240" s="11"/>
      <c r="H240" s="11"/>
    </row>
    <row r="241" customFormat="false" ht="35.05" hidden="false" customHeight="false" outlineLevel="0" collapsed="false">
      <c r="A241" s="10" t="s">
        <v>31</v>
      </c>
      <c r="B241" s="10" t="s">
        <v>927</v>
      </c>
      <c r="C241" s="10" t="s">
        <v>928</v>
      </c>
      <c r="D241" s="10" t="s">
        <v>929</v>
      </c>
      <c r="E241" s="10" t="s">
        <v>930</v>
      </c>
      <c r="F241" s="10"/>
      <c r="G241" s="11"/>
      <c r="H241" s="11"/>
    </row>
    <row r="242" customFormat="false" ht="35.05" hidden="false" customHeight="false" outlineLevel="0" collapsed="false">
      <c r="A242" s="10" t="s">
        <v>31</v>
      </c>
      <c r="B242" s="10" t="s">
        <v>931</v>
      </c>
      <c r="C242" s="10" t="s">
        <v>932</v>
      </c>
      <c r="D242" s="10" t="s">
        <v>933</v>
      </c>
      <c r="E242" s="10" t="s">
        <v>934</v>
      </c>
      <c r="F242" s="10"/>
      <c r="G242" s="11"/>
      <c r="H242" s="11"/>
    </row>
    <row r="243" customFormat="false" ht="35.05" hidden="false" customHeight="false" outlineLevel="0" collapsed="false">
      <c r="A243" s="10" t="s">
        <v>31</v>
      </c>
      <c r="B243" s="10" t="s">
        <v>935</v>
      </c>
      <c r="C243" s="10" t="s">
        <v>936</v>
      </c>
      <c r="D243" s="10" t="s">
        <v>937</v>
      </c>
      <c r="E243" s="10" t="s">
        <v>938</v>
      </c>
      <c r="F243" s="10"/>
      <c r="G243" s="11"/>
      <c r="H243" s="11"/>
    </row>
    <row r="244" customFormat="false" ht="35.05" hidden="false" customHeight="false" outlineLevel="0" collapsed="false">
      <c r="A244" s="10" t="s">
        <v>31</v>
      </c>
      <c r="B244" s="10" t="s">
        <v>939</v>
      </c>
      <c r="C244" s="10" t="s">
        <v>940</v>
      </c>
      <c r="D244" s="10" t="s">
        <v>941</v>
      </c>
      <c r="E244" s="10" t="s">
        <v>942</v>
      </c>
      <c r="F244" s="10"/>
      <c r="G244" s="11"/>
      <c r="H244" s="11"/>
    </row>
    <row r="245" customFormat="false" ht="35.05" hidden="false" customHeight="false" outlineLevel="0" collapsed="false">
      <c r="A245" s="10" t="s">
        <v>31</v>
      </c>
      <c r="B245" s="10" t="s">
        <v>943</v>
      </c>
      <c r="C245" s="10" t="s">
        <v>944</v>
      </c>
      <c r="D245" s="10" t="s">
        <v>945</v>
      </c>
      <c r="E245" s="10" t="s">
        <v>946</v>
      </c>
      <c r="F245" s="10"/>
      <c r="G245" s="11"/>
      <c r="H245" s="11"/>
    </row>
    <row r="246" customFormat="false" ht="35.05" hidden="false" customHeight="false" outlineLevel="0" collapsed="false">
      <c r="A246" s="10" t="s">
        <v>31</v>
      </c>
      <c r="B246" s="10" t="s">
        <v>947</v>
      </c>
      <c r="C246" s="10" t="s">
        <v>948</v>
      </c>
      <c r="D246" s="10" t="s">
        <v>949</v>
      </c>
      <c r="E246" s="10" t="s">
        <v>950</v>
      </c>
      <c r="F246" s="10"/>
      <c r="G246" s="11"/>
      <c r="H246" s="11"/>
    </row>
    <row r="247" customFormat="false" ht="35.05" hidden="false" customHeight="false" outlineLevel="0" collapsed="false">
      <c r="A247" s="10" t="s">
        <v>31</v>
      </c>
      <c r="B247" s="10" t="s">
        <v>951</v>
      </c>
      <c r="C247" s="10" t="s">
        <v>952</v>
      </c>
      <c r="D247" s="10" t="s">
        <v>953</v>
      </c>
      <c r="E247" s="10" t="s">
        <v>954</v>
      </c>
      <c r="F247" s="10"/>
      <c r="G247" s="11"/>
      <c r="H247" s="11"/>
    </row>
    <row r="248" customFormat="false" ht="35.05" hidden="false" customHeight="false" outlineLevel="0" collapsed="false">
      <c r="A248" s="10" t="s">
        <v>31</v>
      </c>
      <c r="B248" s="10" t="s">
        <v>955</v>
      </c>
      <c r="C248" s="10" t="s">
        <v>956</v>
      </c>
      <c r="D248" s="10" t="s">
        <v>957</v>
      </c>
      <c r="E248" s="10" t="s">
        <v>958</v>
      </c>
      <c r="F248" s="10"/>
      <c r="G248" s="11"/>
      <c r="H248" s="11"/>
    </row>
    <row r="249" customFormat="false" ht="35.05" hidden="false" customHeight="false" outlineLevel="0" collapsed="false">
      <c r="A249" s="10" t="s">
        <v>31</v>
      </c>
      <c r="B249" s="10" t="s">
        <v>959</v>
      </c>
      <c r="C249" s="10" t="s">
        <v>960</v>
      </c>
      <c r="D249" s="10" t="s">
        <v>961</v>
      </c>
      <c r="E249" s="10" t="s">
        <v>962</v>
      </c>
      <c r="F249" s="10"/>
      <c r="G249" s="11"/>
      <c r="H249" s="11"/>
    </row>
    <row r="250" customFormat="false" ht="35.05" hidden="false" customHeight="false" outlineLevel="0" collapsed="false">
      <c r="A250" s="10" t="s">
        <v>31</v>
      </c>
      <c r="B250" s="10" t="s">
        <v>963</v>
      </c>
      <c r="C250" s="10" t="s">
        <v>964</v>
      </c>
      <c r="D250" s="10" t="s">
        <v>965</v>
      </c>
      <c r="E250" s="10" t="s">
        <v>966</v>
      </c>
      <c r="F250" s="10"/>
      <c r="G250" s="11"/>
      <c r="H250" s="11"/>
    </row>
    <row r="251" customFormat="false" ht="35.05" hidden="false" customHeight="false" outlineLevel="0" collapsed="false">
      <c r="A251" s="10" t="s">
        <v>31</v>
      </c>
      <c r="B251" s="10" t="s">
        <v>967</v>
      </c>
      <c r="C251" s="10" t="s">
        <v>968</v>
      </c>
      <c r="D251" s="10" t="s">
        <v>969</v>
      </c>
      <c r="E251" s="10" t="s">
        <v>970</v>
      </c>
      <c r="F251" s="10"/>
      <c r="G251" s="11"/>
      <c r="H251" s="11"/>
    </row>
    <row r="252" customFormat="false" ht="35.05" hidden="false" customHeight="false" outlineLevel="0" collapsed="false">
      <c r="A252" s="10" t="s">
        <v>31</v>
      </c>
      <c r="B252" s="10" t="s">
        <v>971</v>
      </c>
      <c r="C252" s="10" t="s">
        <v>972</v>
      </c>
      <c r="D252" s="10" t="s">
        <v>973</v>
      </c>
      <c r="E252" s="10" t="s">
        <v>974</v>
      </c>
      <c r="F252" s="10"/>
      <c r="G252" s="11"/>
      <c r="H252" s="11"/>
    </row>
    <row r="253" customFormat="false" ht="35.05" hidden="false" customHeight="false" outlineLevel="0" collapsed="false">
      <c r="A253" s="10" t="s">
        <v>31</v>
      </c>
      <c r="B253" s="10" t="s">
        <v>975</v>
      </c>
      <c r="C253" s="10" t="s">
        <v>976</v>
      </c>
      <c r="D253" s="10" t="s">
        <v>977</v>
      </c>
      <c r="E253" s="10" t="s">
        <v>978</v>
      </c>
      <c r="F253" s="10"/>
      <c r="G253" s="11"/>
      <c r="H253" s="11"/>
    </row>
    <row r="254" customFormat="false" ht="35.05" hidden="false" customHeight="false" outlineLevel="0" collapsed="false">
      <c r="A254" s="10" t="s">
        <v>31</v>
      </c>
      <c r="B254" s="10" t="s">
        <v>979</v>
      </c>
      <c r="C254" s="10" t="s">
        <v>980</v>
      </c>
      <c r="D254" s="10" t="s">
        <v>981</v>
      </c>
      <c r="E254" s="10" t="s">
        <v>982</v>
      </c>
      <c r="F254" s="10"/>
      <c r="G254" s="11"/>
      <c r="H254" s="11"/>
    </row>
    <row r="255" customFormat="false" ht="35.05" hidden="false" customHeight="false" outlineLevel="0" collapsed="false">
      <c r="A255" s="10" t="s">
        <v>31</v>
      </c>
      <c r="B255" s="10" t="s">
        <v>983</v>
      </c>
      <c r="C255" s="10" t="s">
        <v>984</v>
      </c>
      <c r="D255" s="10" t="s">
        <v>985</v>
      </c>
      <c r="E255" s="10" t="s">
        <v>986</v>
      </c>
      <c r="F255" s="10"/>
      <c r="G255" s="11"/>
      <c r="H255" s="11"/>
    </row>
    <row r="256" customFormat="false" ht="35.05" hidden="false" customHeight="false" outlineLevel="0" collapsed="false">
      <c r="A256" s="10" t="s">
        <v>31</v>
      </c>
      <c r="B256" s="10" t="s">
        <v>987</v>
      </c>
      <c r="C256" s="10" t="s">
        <v>988</v>
      </c>
      <c r="D256" s="10" t="s">
        <v>989</v>
      </c>
      <c r="E256" s="10" t="s">
        <v>990</v>
      </c>
      <c r="F256" s="10"/>
      <c r="G256" s="11"/>
      <c r="H256" s="11"/>
    </row>
    <row r="257" customFormat="false" ht="35.05" hidden="false" customHeight="false" outlineLevel="0" collapsed="false">
      <c r="A257" s="10" t="s">
        <v>31</v>
      </c>
      <c r="B257" s="10" t="s">
        <v>991</v>
      </c>
      <c r="C257" s="10" t="s">
        <v>992</v>
      </c>
      <c r="D257" s="10" t="s">
        <v>993</v>
      </c>
      <c r="E257" s="10" t="s">
        <v>994</v>
      </c>
      <c r="F257" s="10"/>
      <c r="G257" s="11"/>
      <c r="H257" s="11"/>
    </row>
    <row r="258" customFormat="false" ht="35.05" hidden="false" customHeight="false" outlineLevel="0" collapsed="false">
      <c r="A258" s="10" t="s">
        <v>31</v>
      </c>
      <c r="B258" s="10" t="s">
        <v>995</v>
      </c>
      <c r="C258" s="10" t="s">
        <v>996</v>
      </c>
      <c r="D258" s="10" t="s">
        <v>997</v>
      </c>
      <c r="E258" s="10" t="s">
        <v>998</v>
      </c>
      <c r="F258" s="10"/>
      <c r="G258" s="11"/>
      <c r="H258" s="11"/>
    </row>
    <row r="259" customFormat="false" ht="35.05" hidden="false" customHeight="false" outlineLevel="0" collapsed="false">
      <c r="A259" s="10" t="s">
        <v>31</v>
      </c>
      <c r="B259" s="10" t="s">
        <v>999</v>
      </c>
      <c r="C259" s="10" t="s">
        <v>1000</v>
      </c>
      <c r="D259" s="10" t="s">
        <v>1001</v>
      </c>
      <c r="E259" s="10" t="s">
        <v>1002</v>
      </c>
      <c r="F259" s="10"/>
      <c r="G259" s="11"/>
      <c r="H259" s="11"/>
    </row>
    <row r="260" customFormat="false" ht="35.05" hidden="false" customHeight="false" outlineLevel="0" collapsed="false">
      <c r="A260" s="10" t="s">
        <v>31</v>
      </c>
      <c r="B260" s="10" t="s">
        <v>1003</v>
      </c>
      <c r="C260" s="10" t="s">
        <v>1004</v>
      </c>
      <c r="D260" s="10" t="s">
        <v>1005</v>
      </c>
      <c r="E260" s="10" t="s">
        <v>1006</v>
      </c>
      <c r="F260" s="10"/>
      <c r="G260" s="11"/>
      <c r="H260" s="11"/>
    </row>
    <row r="261" customFormat="false" ht="35.05" hidden="false" customHeight="false" outlineLevel="0" collapsed="false">
      <c r="A261" s="10" t="s">
        <v>31</v>
      </c>
      <c r="B261" s="10" t="s">
        <v>1007</v>
      </c>
      <c r="C261" s="10" t="s">
        <v>1008</v>
      </c>
      <c r="D261" s="10" t="s">
        <v>1009</v>
      </c>
      <c r="E261" s="10" t="s">
        <v>1010</v>
      </c>
      <c r="F261" s="10"/>
      <c r="G261" s="11"/>
      <c r="H261" s="11"/>
    </row>
    <row r="262" customFormat="false" ht="35.05" hidden="false" customHeight="false" outlineLevel="0" collapsed="false">
      <c r="A262" s="10" t="s">
        <v>31</v>
      </c>
      <c r="B262" s="10" t="s">
        <v>1011</v>
      </c>
      <c r="C262" s="10" t="s">
        <v>1012</v>
      </c>
      <c r="D262" s="10" t="s">
        <v>1013</v>
      </c>
      <c r="E262" s="10" t="s">
        <v>1014</v>
      </c>
      <c r="F262" s="10"/>
      <c r="G262" s="11"/>
      <c r="H262" s="11"/>
    </row>
    <row r="263" customFormat="false" ht="35.05" hidden="false" customHeight="false" outlineLevel="0" collapsed="false">
      <c r="A263" s="10" t="s">
        <v>31</v>
      </c>
      <c r="B263" s="10" t="s">
        <v>1015</v>
      </c>
      <c r="C263" s="10" t="s">
        <v>1016</v>
      </c>
      <c r="D263" s="10" t="s">
        <v>1017</v>
      </c>
      <c r="E263" s="10" t="s">
        <v>1018</v>
      </c>
      <c r="F263" s="10"/>
      <c r="G263" s="11"/>
      <c r="H263" s="11"/>
    </row>
    <row r="264" customFormat="false" ht="35.05" hidden="false" customHeight="false" outlineLevel="0" collapsed="false">
      <c r="A264" s="10" t="s">
        <v>31</v>
      </c>
      <c r="B264" s="10" t="s">
        <v>1019</v>
      </c>
      <c r="C264" s="10" t="s">
        <v>1020</v>
      </c>
      <c r="D264" s="10" t="s">
        <v>1021</v>
      </c>
      <c r="E264" s="10" t="s">
        <v>1022</v>
      </c>
      <c r="F264" s="10"/>
      <c r="G264" s="11"/>
      <c r="H264" s="11"/>
    </row>
    <row r="265" customFormat="false" ht="35.05" hidden="false" customHeight="false" outlineLevel="0" collapsed="false">
      <c r="A265" s="10" t="s">
        <v>31</v>
      </c>
      <c r="B265" s="10" t="s">
        <v>1023</v>
      </c>
      <c r="C265" s="10" t="s">
        <v>1024</v>
      </c>
      <c r="D265" s="10" t="s">
        <v>1025</v>
      </c>
      <c r="E265" s="10" t="s">
        <v>1026</v>
      </c>
      <c r="F265" s="10"/>
      <c r="G265" s="11"/>
      <c r="H265" s="11"/>
    </row>
    <row r="266" customFormat="false" ht="35.05" hidden="false" customHeight="false" outlineLevel="0" collapsed="false">
      <c r="A266" s="10" t="s">
        <v>31</v>
      </c>
      <c r="B266" s="10" t="s">
        <v>1027</v>
      </c>
      <c r="C266" s="10" t="s">
        <v>1028</v>
      </c>
      <c r="D266" s="10" t="s">
        <v>1029</v>
      </c>
      <c r="E266" s="10" t="s">
        <v>1030</v>
      </c>
      <c r="F266" s="10"/>
      <c r="G266" s="11"/>
      <c r="H266" s="11"/>
    </row>
    <row r="267" customFormat="false" ht="35.05" hidden="false" customHeight="false" outlineLevel="0" collapsed="false">
      <c r="A267" s="10" t="s">
        <v>31</v>
      </c>
      <c r="B267" s="10" t="s">
        <v>1031</v>
      </c>
      <c r="C267" s="10" t="s">
        <v>1032</v>
      </c>
      <c r="D267" s="10" t="s">
        <v>1033</v>
      </c>
      <c r="E267" s="10" t="s">
        <v>1034</v>
      </c>
      <c r="F267" s="10"/>
      <c r="G267" s="11"/>
      <c r="H267" s="11"/>
    </row>
    <row r="268" customFormat="false" ht="35.05" hidden="false" customHeight="false" outlineLevel="0" collapsed="false">
      <c r="A268" s="10" t="s">
        <v>31</v>
      </c>
      <c r="B268" s="10" t="s">
        <v>1035</v>
      </c>
      <c r="C268" s="10" t="s">
        <v>1036</v>
      </c>
      <c r="D268" s="10" t="s">
        <v>1037</v>
      </c>
      <c r="E268" s="10" t="s">
        <v>1038</v>
      </c>
      <c r="F268" s="10"/>
      <c r="G268" s="11"/>
      <c r="H268" s="11"/>
    </row>
    <row r="269" customFormat="false" ht="23.85" hidden="false" customHeight="false" outlineLevel="0" collapsed="false">
      <c r="A269" s="10" t="s">
        <v>31</v>
      </c>
      <c r="B269" s="10" t="s">
        <v>1039</v>
      </c>
      <c r="C269" s="10" t="s">
        <v>1040</v>
      </c>
      <c r="D269" s="10" t="s">
        <v>1041</v>
      </c>
      <c r="E269" s="10" t="s">
        <v>1042</v>
      </c>
      <c r="F269" s="10"/>
      <c r="G269" s="11"/>
      <c r="H269" s="11"/>
    </row>
    <row r="270" customFormat="false" ht="46.25" hidden="false" customHeight="false" outlineLevel="0" collapsed="false">
      <c r="A270" s="10" t="s">
        <v>31</v>
      </c>
      <c r="B270" s="10" t="s">
        <v>1043</v>
      </c>
      <c r="C270" s="10" t="s">
        <v>1044</v>
      </c>
      <c r="D270" s="10" t="s">
        <v>1045</v>
      </c>
      <c r="E270" s="10" t="s">
        <v>1046</v>
      </c>
      <c r="F270" s="10"/>
      <c r="G270" s="11"/>
      <c r="H270" s="11"/>
    </row>
    <row r="271" customFormat="false" ht="35.05" hidden="false" customHeight="false" outlineLevel="0" collapsed="false">
      <c r="A271" s="10" t="s">
        <v>31</v>
      </c>
      <c r="B271" s="10" t="s">
        <v>1047</v>
      </c>
      <c r="C271" s="10" t="s">
        <v>1048</v>
      </c>
      <c r="D271" s="10" t="s">
        <v>1049</v>
      </c>
      <c r="E271" s="10" t="s">
        <v>1050</v>
      </c>
      <c r="F271" s="10"/>
      <c r="G271" s="11"/>
      <c r="H271" s="11"/>
    </row>
    <row r="272" customFormat="false" ht="35.05" hidden="false" customHeight="false" outlineLevel="0" collapsed="false">
      <c r="A272" s="10" t="s">
        <v>31</v>
      </c>
      <c r="B272" s="10" t="s">
        <v>1051</v>
      </c>
      <c r="C272" s="10" t="s">
        <v>1052</v>
      </c>
      <c r="D272" s="10" t="s">
        <v>1053</v>
      </c>
      <c r="E272" s="10" t="s">
        <v>1054</v>
      </c>
      <c r="F272" s="10"/>
      <c r="G272" s="11"/>
      <c r="H272" s="11"/>
    </row>
    <row r="273" customFormat="false" ht="46.25" hidden="false" customHeight="false" outlineLevel="0" collapsed="false">
      <c r="A273" s="10" t="s">
        <v>31</v>
      </c>
      <c r="B273" s="10" t="s">
        <v>1055</v>
      </c>
      <c r="C273" s="10" t="s">
        <v>1056</v>
      </c>
      <c r="D273" s="10" t="s">
        <v>1057</v>
      </c>
      <c r="E273" s="10" t="s">
        <v>1058</v>
      </c>
      <c r="F273" s="10"/>
      <c r="G273" s="11"/>
      <c r="H273" s="11"/>
    </row>
    <row r="274" customFormat="false" ht="46.25" hidden="false" customHeight="false" outlineLevel="0" collapsed="false">
      <c r="A274" s="10" t="s">
        <v>31</v>
      </c>
      <c r="B274" s="10" t="s">
        <v>1059</v>
      </c>
      <c r="C274" s="10" t="s">
        <v>1060</v>
      </c>
      <c r="D274" s="10" t="s">
        <v>1061</v>
      </c>
      <c r="E274" s="10" t="s">
        <v>1062</v>
      </c>
      <c r="F274" s="10"/>
      <c r="G274" s="11"/>
      <c r="H274" s="11"/>
    </row>
    <row r="275" customFormat="false" ht="35.05" hidden="false" customHeight="false" outlineLevel="0" collapsed="false">
      <c r="A275" s="10" t="s">
        <v>31</v>
      </c>
      <c r="B275" s="10" t="s">
        <v>1063</v>
      </c>
      <c r="C275" s="10" t="s">
        <v>1064</v>
      </c>
      <c r="D275" s="10" t="s">
        <v>1065</v>
      </c>
      <c r="E275" s="10" t="s">
        <v>1066</v>
      </c>
      <c r="F275" s="10"/>
      <c r="G275" s="11"/>
      <c r="H275" s="11"/>
    </row>
    <row r="276" customFormat="false" ht="35.05" hidden="false" customHeight="false" outlineLevel="0" collapsed="false">
      <c r="A276" s="10" t="s">
        <v>31</v>
      </c>
      <c r="B276" s="10" t="s">
        <v>1067</v>
      </c>
      <c r="C276" s="10" t="s">
        <v>1068</v>
      </c>
      <c r="D276" s="10" t="s">
        <v>1069</v>
      </c>
      <c r="E276" s="10" t="s">
        <v>1070</v>
      </c>
      <c r="F276" s="10"/>
      <c r="G276" s="11"/>
      <c r="H276" s="11"/>
    </row>
    <row r="277" customFormat="false" ht="35.05" hidden="false" customHeight="false" outlineLevel="0" collapsed="false">
      <c r="A277" s="10" t="s">
        <v>31</v>
      </c>
      <c r="B277" s="10" t="s">
        <v>1071</v>
      </c>
      <c r="C277" s="10" t="s">
        <v>1072</v>
      </c>
      <c r="D277" s="10" t="s">
        <v>1073</v>
      </c>
      <c r="E277" s="10" t="s">
        <v>1074</v>
      </c>
      <c r="F277" s="10"/>
      <c r="G277" s="11"/>
      <c r="H277" s="11"/>
    </row>
    <row r="278" customFormat="false" ht="35.05" hidden="false" customHeight="false" outlineLevel="0" collapsed="false">
      <c r="A278" s="10" t="s">
        <v>31</v>
      </c>
      <c r="B278" s="10" t="s">
        <v>1075</v>
      </c>
      <c r="C278" s="10" t="s">
        <v>1076</v>
      </c>
      <c r="D278" s="10" t="s">
        <v>1077</v>
      </c>
      <c r="E278" s="10" t="s">
        <v>1078</v>
      </c>
      <c r="F278" s="10"/>
      <c r="G278" s="11"/>
      <c r="H278" s="11"/>
    </row>
    <row r="279" customFormat="false" ht="23.85" hidden="false" customHeight="false" outlineLevel="0" collapsed="false">
      <c r="A279" s="10" t="s">
        <v>31</v>
      </c>
      <c r="B279" s="10" t="s">
        <v>1079</v>
      </c>
      <c r="C279" s="10" t="s">
        <v>1080</v>
      </c>
      <c r="D279" s="10" t="s">
        <v>1081</v>
      </c>
      <c r="E279" s="10" t="s">
        <v>1082</v>
      </c>
      <c r="F279" s="10"/>
      <c r="G279" s="11"/>
      <c r="H279" s="11"/>
    </row>
    <row r="280" customFormat="false" ht="35.05" hidden="false" customHeight="false" outlineLevel="0" collapsed="false">
      <c r="A280" s="10" t="s">
        <v>31</v>
      </c>
      <c r="B280" s="10" t="s">
        <v>1083</v>
      </c>
      <c r="C280" s="10" t="s">
        <v>1084</v>
      </c>
      <c r="D280" s="10" t="s">
        <v>1085</v>
      </c>
      <c r="E280" s="10" t="s">
        <v>1086</v>
      </c>
      <c r="F280" s="10"/>
      <c r="G280" s="11"/>
      <c r="H280" s="11"/>
    </row>
    <row r="281" customFormat="false" ht="35.05" hidden="false" customHeight="false" outlineLevel="0" collapsed="false">
      <c r="A281" s="10" t="s">
        <v>31</v>
      </c>
      <c r="B281" s="10" t="s">
        <v>1087</v>
      </c>
      <c r="C281" s="10" t="s">
        <v>1088</v>
      </c>
      <c r="D281" s="10" t="s">
        <v>1089</v>
      </c>
      <c r="E281" s="10" t="s">
        <v>1090</v>
      </c>
      <c r="F281" s="10"/>
      <c r="G281" s="11"/>
      <c r="H281" s="11"/>
    </row>
    <row r="282" customFormat="false" ht="35.05" hidden="false" customHeight="false" outlineLevel="0" collapsed="false">
      <c r="A282" s="10" t="s">
        <v>31</v>
      </c>
      <c r="B282" s="10" t="s">
        <v>1091</v>
      </c>
      <c r="C282" s="10" t="s">
        <v>1092</v>
      </c>
      <c r="D282" s="10" t="s">
        <v>1093</v>
      </c>
      <c r="E282" s="10" t="s">
        <v>1094</v>
      </c>
      <c r="F282" s="10"/>
      <c r="G282" s="11"/>
      <c r="H282" s="11"/>
    </row>
    <row r="283" customFormat="false" ht="35.05" hidden="false" customHeight="false" outlineLevel="0" collapsed="false">
      <c r="A283" s="10" t="s">
        <v>31</v>
      </c>
      <c r="B283" s="10" t="s">
        <v>1095</v>
      </c>
      <c r="C283" s="10" t="s">
        <v>1096</v>
      </c>
      <c r="D283" s="10" t="s">
        <v>1097</v>
      </c>
      <c r="E283" s="10" t="s">
        <v>1098</v>
      </c>
      <c r="F283" s="10"/>
      <c r="G283" s="11"/>
      <c r="H283" s="11"/>
    </row>
    <row r="284" customFormat="false" ht="23.85" hidden="false" customHeight="false" outlineLevel="0" collapsed="false">
      <c r="A284" s="10" t="s">
        <v>31</v>
      </c>
      <c r="B284" s="10" t="s">
        <v>1099</v>
      </c>
      <c r="C284" s="10" t="s">
        <v>1100</v>
      </c>
      <c r="D284" s="10" t="s">
        <v>1101</v>
      </c>
      <c r="E284" s="10" t="s">
        <v>1102</v>
      </c>
      <c r="F284" s="10"/>
      <c r="G284" s="11"/>
      <c r="H284" s="11"/>
    </row>
    <row r="285" customFormat="false" ht="35.05" hidden="false" customHeight="false" outlineLevel="0" collapsed="false">
      <c r="A285" s="10" t="s">
        <v>31</v>
      </c>
      <c r="B285" s="10" t="s">
        <v>1103</v>
      </c>
      <c r="C285" s="10" t="s">
        <v>1104</v>
      </c>
      <c r="D285" s="10" t="s">
        <v>1105</v>
      </c>
      <c r="E285" s="10" t="s">
        <v>1106</v>
      </c>
      <c r="F285" s="10"/>
      <c r="G285" s="11"/>
      <c r="H285" s="11"/>
    </row>
    <row r="286" customFormat="false" ht="23.85" hidden="false" customHeight="false" outlineLevel="0" collapsed="false">
      <c r="A286" s="10" t="s">
        <v>31</v>
      </c>
      <c r="B286" s="10" t="s">
        <v>1107</v>
      </c>
      <c r="C286" s="10" t="s">
        <v>1108</v>
      </c>
      <c r="D286" s="10" t="s">
        <v>1109</v>
      </c>
      <c r="E286" s="10" t="s">
        <v>1110</v>
      </c>
      <c r="F286" s="10"/>
      <c r="G286" s="11"/>
      <c r="H286" s="11"/>
    </row>
    <row r="287" customFormat="false" ht="35.05" hidden="false" customHeight="false" outlineLevel="0" collapsed="false">
      <c r="A287" s="10" t="s">
        <v>31</v>
      </c>
      <c r="B287" s="10" t="s">
        <v>1111</v>
      </c>
      <c r="C287" s="10" t="s">
        <v>1112</v>
      </c>
      <c r="D287" s="10" t="s">
        <v>1113</v>
      </c>
      <c r="E287" s="10" t="s">
        <v>1114</v>
      </c>
      <c r="F287" s="10"/>
      <c r="G287" s="11"/>
      <c r="H287" s="11"/>
    </row>
    <row r="288" customFormat="false" ht="23.85" hidden="false" customHeight="false" outlineLevel="0" collapsed="false">
      <c r="A288" s="10" t="s">
        <v>31</v>
      </c>
      <c r="B288" s="10" t="s">
        <v>1115</v>
      </c>
      <c r="C288" s="10" t="s">
        <v>1116</v>
      </c>
      <c r="D288" s="10" t="s">
        <v>1117</v>
      </c>
      <c r="E288" s="10" t="s">
        <v>1118</v>
      </c>
      <c r="F288" s="10"/>
      <c r="G288" s="11"/>
      <c r="H288" s="11"/>
    </row>
    <row r="289" customFormat="false" ht="23.85" hidden="false" customHeight="false" outlineLevel="0" collapsed="false">
      <c r="A289" s="10" t="s">
        <v>31</v>
      </c>
      <c r="B289" s="10" t="s">
        <v>1119</v>
      </c>
      <c r="C289" s="10" t="s">
        <v>1120</v>
      </c>
      <c r="D289" s="10" t="s">
        <v>1121</v>
      </c>
      <c r="E289" s="10" t="s">
        <v>1122</v>
      </c>
      <c r="F289" s="10"/>
      <c r="G289" s="11"/>
      <c r="H289" s="11"/>
    </row>
    <row r="290" customFormat="false" ht="23.85" hidden="false" customHeight="false" outlineLevel="0" collapsed="false">
      <c r="A290" s="10" t="s">
        <v>31</v>
      </c>
      <c r="B290" s="10" t="s">
        <v>1123</v>
      </c>
      <c r="C290" s="10" t="s">
        <v>1124</v>
      </c>
      <c r="D290" s="10" t="s">
        <v>1125</v>
      </c>
      <c r="E290" s="10" t="s">
        <v>1126</v>
      </c>
      <c r="F290" s="10"/>
      <c r="G290" s="11"/>
      <c r="H290" s="11"/>
    </row>
    <row r="291" customFormat="false" ht="35.05" hidden="false" customHeight="false" outlineLevel="0" collapsed="false">
      <c r="A291" s="10" t="s">
        <v>31</v>
      </c>
      <c r="B291" s="10" t="s">
        <v>1127</v>
      </c>
      <c r="C291" s="10" t="s">
        <v>1128</v>
      </c>
      <c r="D291" s="10" t="s">
        <v>1129</v>
      </c>
      <c r="E291" s="10" t="s">
        <v>1130</v>
      </c>
      <c r="F291" s="10"/>
      <c r="G291" s="11"/>
      <c r="H291" s="11"/>
    </row>
    <row r="292" customFormat="false" ht="23.85" hidden="false" customHeight="false" outlineLevel="0" collapsed="false">
      <c r="A292" s="10" t="s">
        <v>31</v>
      </c>
      <c r="B292" s="10" t="s">
        <v>1131</v>
      </c>
      <c r="C292" s="10" t="s">
        <v>1132</v>
      </c>
      <c r="D292" s="10" t="s">
        <v>1133</v>
      </c>
      <c r="E292" s="10" t="s">
        <v>1134</v>
      </c>
      <c r="F292" s="10"/>
      <c r="G292" s="11"/>
      <c r="H292" s="11"/>
    </row>
    <row r="293" customFormat="false" ht="35.05" hidden="false" customHeight="false" outlineLevel="0" collapsed="false">
      <c r="A293" s="10" t="s">
        <v>31</v>
      </c>
      <c r="B293" s="10" t="s">
        <v>1135</v>
      </c>
      <c r="C293" s="10" t="s">
        <v>1136</v>
      </c>
      <c r="D293" s="10" t="s">
        <v>1137</v>
      </c>
      <c r="E293" s="10" t="s">
        <v>1138</v>
      </c>
      <c r="F293" s="10"/>
      <c r="G293" s="11"/>
      <c r="H293" s="11"/>
    </row>
    <row r="294" customFormat="false" ht="23.85" hidden="false" customHeight="false" outlineLevel="0" collapsed="false">
      <c r="A294" s="10" t="s">
        <v>31</v>
      </c>
      <c r="B294" s="10" t="s">
        <v>1139</v>
      </c>
      <c r="C294" s="10" t="s">
        <v>1140</v>
      </c>
      <c r="D294" s="10" t="s">
        <v>1141</v>
      </c>
      <c r="E294" s="10" t="s">
        <v>1142</v>
      </c>
      <c r="F294" s="10"/>
      <c r="G294" s="11"/>
      <c r="H294" s="11"/>
    </row>
    <row r="295" customFormat="false" ht="23.85" hidden="false" customHeight="false" outlineLevel="0" collapsed="false">
      <c r="A295" s="10" t="s">
        <v>31</v>
      </c>
      <c r="B295" s="10" t="s">
        <v>1143</v>
      </c>
      <c r="C295" s="10" t="s">
        <v>1144</v>
      </c>
      <c r="D295" s="10" t="s">
        <v>1145</v>
      </c>
      <c r="E295" s="10" t="s">
        <v>1146</v>
      </c>
      <c r="F295" s="10"/>
      <c r="G295" s="11"/>
      <c r="H295" s="11"/>
    </row>
    <row r="296" customFormat="false" ht="35.05" hidden="false" customHeight="false" outlineLevel="0" collapsed="false">
      <c r="A296" s="10" t="s">
        <v>31</v>
      </c>
      <c r="B296" s="10" t="s">
        <v>1147</v>
      </c>
      <c r="C296" s="10" t="s">
        <v>1148</v>
      </c>
      <c r="D296" s="10" t="s">
        <v>1149</v>
      </c>
      <c r="E296" s="10" t="s">
        <v>1150</v>
      </c>
      <c r="F296" s="10"/>
      <c r="G296" s="11"/>
      <c r="H296" s="11"/>
    </row>
    <row r="297" customFormat="false" ht="23.85" hidden="false" customHeight="false" outlineLevel="0" collapsed="false">
      <c r="A297" s="10" t="s">
        <v>31</v>
      </c>
      <c r="B297" s="10" t="s">
        <v>1151</v>
      </c>
      <c r="C297" s="10" t="s">
        <v>1152</v>
      </c>
      <c r="D297" s="10" t="s">
        <v>1153</v>
      </c>
      <c r="E297" s="10" t="s">
        <v>1154</v>
      </c>
      <c r="F297" s="10"/>
      <c r="G297" s="11"/>
      <c r="H297" s="11"/>
    </row>
    <row r="298" customFormat="false" ht="23.85" hidden="false" customHeight="false" outlineLevel="0" collapsed="false">
      <c r="A298" s="10" t="s">
        <v>31</v>
      </c>
      <c r="B298" s="10" t="s">
        <v>1155</v>
      </c>
      <c r="C298" s="10" t="s">
        <v>1156</v>
      </c>
      <c r="D298" s="10" t="s">
        <v>1157</v>
      </c>
      <c r="E298" s="10" t="s">
        <v>1158</v>
      </c>
      <c r="F298" s="10"/>
      <c r="G298" s="11"/>
      <c r="H298" s="11"/>
    </row>
    <row r="299" customFormat="false" ht="35.05" hidden="false" customHeight="false" outlineLevel="0" collapsed="false">
      <c r="A299" s="10" t="s">
        <v>31</v>
      </c>
      <c r="B299" s="10" t="s">
        <v>1159</v>
      </c>
      <c r="C299" s="10" t="s">
        <v>1160</v>
      </c>
      <c r="D299" s="10" t="s">
        <v>1161</v>
      </c>
      <c r="E299" s="10" t="s">
        <v>1162</v>
      </c>
      <c r="F299" s="10"/>
      <c r="G299" s="11"/>
      <c r="H299" s="11"/>
    </row>
    <row r="300" customFormat="false" ht="35.05" hidden="false" customHeight="false" outlineLevel="0" collapsed="false">
      <c r="A300" s="10" t="s">
        <v>31</v>
      </c>
      <c r="B300" s="10" t="s">
        <v>1163</v>
      </c>
      <c r="C300" s="10" t="s">
        <v>1164</v>
      </c>
      <c r="D300" s="10" t="s">
        <v>1165</v>
      </c>
      <c r="E300" s="10" t="s">
        <v>1166</v>
      </c>
      <c r="F300" s="10"/>
      <c r="G300" s="11"/>
      <c r="H300" s="11"/>
    </row>
    <row r="301" customFormat="false" ht="35.05" hidden="false" customHeight="false" outlineLevel="0" collapsed="false">
      <c r="A301" s="10" t="s">
        <v>31</v>
      </c>
      <c r="B301" s="10" t="s">
        <v>1167</v>
      </c>
      <c r="C301" s="10" t="s">
        <v>1168</v>
      </c>
      <c r="D301" s="10" t="s">
        <v>1169</v>
      </c>
      <c r="E301" s="10" t="s">
        <v>1170</v>
      </c>
      <c r="F301" s="10"/>
      <c r="G301" s="11"/>
      <c r="H301" s="11"/>
    </row>
    <row r="302" customFormat="false" ht="35.05" hidden="false" customHeight="false" outlineLevel="0" collapsed="false">
      <c r="A302" s="10" t="s">
        <v>31</v>
      </c>
      <c r="B302" s="10" t="s">
        <v>1171</v>
      </c>
      <c r="C302" s="10" t="s">
        <v>1172</v>
      </c>
      <c r="D302" s="10" t="s">
        <v>1173</v>
      </c>
      <c r="E302" s="10" t="s">
        <v>1174</v>
      </c>
      <c r="F302" s="10"/>
      <c r="G302" s="11"/>
      <c r="H302" s="11"/>
    </row>
    <row r="303" customFormat="false" ht="35.05" hidden="false" customHeight="false" outlineLevel="0" collapsed="false">
      <c r="A303" s="10" t="s">
        <v>31</v>
      </c>
      <c r="B303" s="10" t="s">
        <v>1175</v>
      </c>
      <c r="C303" s="10" t="s">
        <v>1176</v>
      </c>
      <c r="D303" s="10" t="s">
        <v>1177</v>
      </c>
      <c r="E303" s="10" t="s">
        <v>1178</v>
      </c>
      <c r="F303" s="10"/>
      <c r="G303" s="11"/>
      <c r="H303" s="11"/>
    </row>
    <row r="304" customFormat="false" ht="35.05" hidden="false" customHeight="false" outlineLevel="0" collapsed="false">
      <c r="A304" s="10" t="s">
        <v>31</v>
      </c>
      <c r="B304" s="10" t="s">
        <v>1179</v>
      </c>
      <c r="C304" s="10" t="s">
        <v>1180</v>
      </c>
      <c r="D304" s="10" t="s">
        <v>1181</v>
      </c>
      <c r="E304" s="10" t="s">
        <v>1182</v>
      </c>
      <c r="F304" s="10"/>
      <c r="G304" s="11"/>
      <c r="H304" s="11"/>
    </row>
    <row r="305" customFormat="false" ht="35.05" hidden="false" customHeight="false" outlineLevel="0" collapsed="false">
      <c r="A305" s="10" t="s">
        <v>31</v>
      </c>
      <c r="B305" s="10" t="s">
        <v>1183</v>
      </c>
      <c r="C305" s="10" t="s">
        <v>1184</v>
      </c>
      <c r="D305" s="10" t="s">
        <v>1185</v>
      </c>
      <c r="E305" s="10" t="s">
        <v>1186</v>
      </c>
      <c r="F305" s="10"/>
      <c r="G305" s="11"/>
      <c r="H305" s="11"/>
    </row>
    <row r="306" customFormat="false" ht="35.05" hidden="false" customHeight="false" outlineLevel="0" collapsed="false">
      <c r="A306" s="10" t="s">
        <v>31</v>
      </c>
      <c r="B306" s="10" t="s">
        <v>1187</v>
      </c>
      <c r="C306" s="10" t="s">
        <v>1188</v>
      </c>
      <c r="D306" s="10" t="s">
        <v>1189</v>
      </c>
      <c r="E306" s="10" t="s">
        <v>1190</v>
      </c>
      <c r="F306" s="10"/>
      <c r="G306" s="11"/>
      <c r="H306" s="11"/>
    </row>
    <row r="307" customFormat="false" ht="35.05" hidden="false" customHeight="false" outlineLevel="0" collapsed="false">
      <c r="A307" s="10" t="s">
        <v>31</v>
      </c>
      <c r="B307" s="10" t="s">
        <v>1191</v>
      </c>
      <c r="C307" s="10" t="s">
        <v>1192</v>
      </c>
      <c r="D307" s="10" t="s">
        <v>1193</v>
      </c>
      <c r="E307" s="10" t="s">
        <v>1194</v>
      </c>
      <c r="F307" s="10"/>
      <c r="G307" s="11"/>
      <c r="H307" s="11"/>
    </row>
    <row r="308" customFormat="false" ht="35.05" hidden="false" customHeight="false" outlineLevel="0" collapsed="false">
      <c r="A308" s="10" t="s">
        <v>31</v>
      </c>
      <c r="B308" s="10" t="s">
        <v>1195</v>
      </c>
      <c r="C308" s="10" t="s">
        <v>1196</v>
      </c>
      <c r="D308" s="10" t="s">
        <v>1197</v>
      </c>
      <c r="E308" s="10" t="s">
        <v>1198</v>
      </c>
      <c r="F308" s="10"/>
      <c r="G308" s="11"/>
      <c r="H308" s="11"/>
    </row>
    <row r="309" customFormat="false" ht="46.25" hidden="false" customHeight="false" outlineLevel="0" collapsed="false">
      <c r="A309" s="10" t="s">
        <v>31</v>
      </c>
      <c r="B309" s="10" t="s">
        <v>1199</v>
      </c>
      <c r="C309" s="10" t="s">
        <v>1200</v>
      </c>
      <c r="D309" s="10" t="s">
        <v>1201</v>
      </c>
      <c r="E309" s="10" t="s">
        <v>1202</v>
      </c>
      <c r="F309" s="10"/>
      <c r="G309" s="11"/>
      <c r="H309" s="11"/>
    </row>
    <row r="310" customFormat="false" ht="35.05" hidden="false" customHeight="false" outlineLevel="0" collapsed="false">
      <c r="A310" s="10" t="s">
        <v>31</v>
      </c>
      <c r="B310" s="10" t="s">
        <v>1203</v>
      </c>
      <c r="C310" s="10" t="s">
        <v>1204</v>
      </c>
      <c r="D310" s="10" t="s">
        <v>1205</v>
      </c>
      <c r="E310" s="10" t="s">
        <v>1206</v>
      </c>
      <c r="F310" s="10"/>
      <c r="G310" s="11"/>
      <c r="H310" s="11"/>
    </row>
    <row r="311" customFormat="false" ht="35.05" hidden="false" customHeight="false" outlineLevel="0" collapsed="false">
      <c r="A311" s="10" t="s">
        <v>31</v>
      </c>
      <c r="B311" s="10" t="s">
        <v>1207</v>
      </c>
      <c r="C311" s="10" t="s">
        <v>1208</v>
      </c>
      <c r="D311" s="10" t="s">
        <v>1209</v>
      </c>
      <c r="E311" s="10" t="s">
        <v>1210</v>
      </c>
      <c r="F311" s="10"/>
      <c r="G311" s="11"/>
      <c r="H311" s="11"/>
    </row>
    <row r="312" customFormat="false" ht="35.05" hidden="false" customHeight="false" outlineLevel="0" collapsed="false">
      <c r="A312" s="10" t="s">
        <v>31</v>
      </c>
      <c r="B312" s="10" t="s">
        <v>1211</v>
      </c>
      <c r="C312" s="10" t="s">
        <v>1212</v>
      </c>
      <c r="D312" s="10" t="s">
        <v>1213</v>
      </c>
      <c r="E312" s="10" t="s">
        <v>1214</v>
      </c>
      <c r="F312" s="10"/>
      <c r="G312" s="11"/>
      <c r="H312" s="11"/>
    </row>
    <row r="313" customFormat="false" ht="35.05" hidden="false" customHeight="false" outlineLevel="0" collapsed="false">
      <c r="A313" s="10" t="s">
        <v>31</v>
      </c>
      <c r="B313" s="10" t="s">
        <v>1215</v>
      </c>
      <c r="C313" s="10" t="s">
        <v>1216</v>
      </c>
      <c r="D313" s="10" t="s">
        <v>1217</v>
      </c>
      <c r="E313" s="10" t="s">
        <v>1218</v>
      </c>
      <c r="F313" s="10"/>
      <c r="G313" s="11"/>
      <c r="H313" s="11"/>
    </row>
    <row r="314" customFormat="false" ht="35.05" hidden="false" customHeight="false" outlineLevel="0" collapsed="false">
      <c r="A314" s="10" t="s">
        <v>31</v>
      </c>
      <c r="B314" s="10" t="s">
        <v>1219</v>
      </c>
      <c r="C314" s="10" t="s">
        <v>1220</v>
      </c>
      <c r="D314" s="10" t="s">
        <v>1221</v>
      </c>
      <c r="E314" s="10" t="s">
        <v>1222</v>
      </c>
      <c r="F314" s="10"/>
      <c r="G314" s="11"/>
      <c r="H314" s="11"/>
    </row>
    <row r="315" customFormat="false" ht="23.85" hidden="false" customHeight="false" outlineLevel="0" collapsed="false">
      <c r="A315" s="10" t="s">
        <v>31</v>
      </c>
      <c r="B315" s="10" t="s">
        <v>1223</v>
      </c>
      <c r="C315" s="10" t="s">
        <v>1224</v>
      </c>
      <c r="D315" s="10" t="s">
        <v>1225</v>
      </c>
      <c r="E315" s="10" t="s">
        <v>1226</v>
      </c>
      <c r="F315" s="10"/>
      <c r="G315" s="11"/>
      <c r="H315" s="11"/>
    </row>
    <row r="316" customFormat="false" ht="23.85" hidden="false" customHeight="false" outlineLevel="0" collapsed="false">
      <c r="A316" s="10" t="s">
        <v>31</v>
      </c>
      <c r="B316" s="10" t="s">
        <v>1227</v>
      </c>
      <c r="C316" s="10" t="s">
        <v>1228</v>
      </c>
      <c r="D316" s="10" t="s">
        <v>1229</v>
      </c>
      <c r="E316" s="10" t="s">
        <v>1230</v>
      </c>
      <c r="F316" s="10"/>
      <c r="G316" s="11"/>
      <c r="H316" s="11"/>
    </row>
    <row r="317" customFormat="false" ht="35.05" hidden="false" customHeight="false" outlineLevel="0" collapsed="false">
      <c r="A317" s="10" t="s">
        <v>31</v>
      </c>
      <c r="B317" s="10" t="s">
        <v>1231</v>
      </c>
      <c r="C317" s="10" t="s">
        <v>1232</v>
      </c>
      <c r="D317" s="10" t="s">
        <v>1233</v>
      </c>
      <c r="E317" s="10" t="s">
        <v>1234</v>
      </c>
      <c r="F317" s="10"/>
      <c r="G317" s="11"/>
      <c r="H317" s="11"/>
    </row>
    <row r="318" customFormat="false" ht="35.05" hidden="false" customHeight="false" outlineLevel="0" collapsed="false">
      <c r="A318" s="10" t="s">
        <v>31</v>
      </c>
      <c r="B318" s="10" t="s">
        <v>1235</v>
      </c>
      <c r="C318" s="10" t="s">
        <v>1236</v>
      </c>
      <c r="D318" s="10" t="s">
        <v>1237</v>
      </c>
      <c r="E318" s="10" t="s">
        <v>1238</v>
      </c>
      <c r="F318" s="10"/>
      <c r="G318" s="11"/>
      <c r="H318" s="11"/>
    </row>
    <row r="319" customFormat="false" ht="35.05" hidden="false" customHeight="false" outlineLevel="0" collapsed="false">
      <c r="A319" s="10" t="s">
        <v>31</v>
      </c>
      <c r="B319" s="10" t="s">
        <v>1239</v>
      </c>
      <c r="C319" s="10" t="s">
        <v>1240</v>
      </c>
      <c r="D319" s="10" t="s">
        <v>1241</v>
      </c>
      <c r="E319" s="10" t="s">
        <v>1242</v>
      </c>
      <c r="F319" s="10"/>
      <c r="G319" s="11"/>
      <c r="H319" s="11"/>
    </row>
    <row r="320" customFormat="false" ht="23.85" hidden="false" customHeight="false" outlineLevel="0" collapsed="false">
      <c r="A320" s="10" t="s">
        <v>31</v>
      </c>
      <c r="B320" s="10" t="s">
        <v>1243</v>
      </c>
      <c r="C320" s="10" t="s">
        <v>1244</v>
      </c>
      <c r="D320" s="10" t="s">
        <v>1245</v>
      </c>
      <c r="E320" s="10" t="s">
        <v>1246</v>
      </c>
      <c r="F320" s="10"/>
      <c r="G320" s="11"/>
      <c r="H320" s="11"/>
    </row>
    <row r="321" customFormat="false" ht="23.85" hidden="false" customHeight="false" outlineLevel="0" collapsed="false">
      <c r="A321" s="10" t="s">
        <v>31</v>
      </c>
      <c r="B321" s="10" t="s">
        <v>1247</v>
      </c>
      <c r="C321" s="10" t="s">
        <v>1248</v>
      </c>
      <c r="D321" s="10" t="s">
        <v>1249</v>
      </c>
      <c r="E321" s="10" t="s">
        <v>1250</v>
      </c>
      <c r="F321" s="10"/>
      <c r="G321" s="11"/>
      <c r="H321" s="11"/>
    </row>
    <row r="322" customFormat="false" ht="23.85" hidden="false" customHeight="false" outlineLevel="0" collapsed="false">
      <c r="A322" s="10" t="s">
        <v>31</v>
      </c>
      <c r="B322" s="10" t="s">
        <v>1251</v>
      </c>
      <c r="C322" s="10" t="s">
        <v>1252</v>
      </c>
      <c r="D322" s="10" t="s">
        <v>1253</v>
      </c>
      <c r="E322" s="10" t="s">
        <v>1254</v>
      </c>
      <c r="F322" s="10"/>
      <c r="G322" s="11"/>
      <c r="H322" s="11"/>
    </row>
    <row r="323" customFormat="false" ht="23.85" hidden="false" customHeight="false" outlineLevel="0" collapsed="false">
      <c r="A323" s="10" t="s">
        <v>31</v>
      </c>
      <c r="B323" s="10" t="s">
        <v>1255</v>
      </c>
      <c r="C323" s="10" t="s">
        <v>1256</v>
      </c>
      <c r="D323" s="10" t="s">
        <v>1257</v>
      </c>
      <c r="E323" s="10" t="s">
        <v>1258</v>
      </c>
      <c r="F323" s="10"/>
      <c r="G323" s="11"/>
      <c r="H323" s="11"/>
    </row>
    <row r="324" customFormat="false" ht="35.05" hidden="false" customHeight="false" outlineLevel="0" collapsed="false">
      <c r="A324" s="10" t="s">
        <v>31</v>
      </c>
      <c r="B324" s="10" t="s">
        <v>1259</v>
      </c>
      <c r="C324" s="10" t="s">
        <v>1260</v>
      </c>
      <c r="D324" s="10" t="s">
        <v>1261</v>
      </c>
      <c r="E324" s="10" t="s">
        <v>1262</v>
      </c>
      <c r="F324" s="10"/>
      <c r="G324" s="11"/>
      <c r="H324" s="11"/>
    </row>
    <row r="325" customFormat="false" ht="35.05" hidden="false" customHeight="false" outlineLevel="0" collapsed="false">
      <c r="A325" s="10" t="s">
        <v>31</v>
      </c>
      <c r="B325" s="10" t="s">
        <v>1263</v>
      </c>
      <c r="C325" s="10" t="s">
        <v>1264</v>
      </c>
      <c r="D325" s="10" t="s">
        <v>1265</v>
      </c>
      <c r="E325" s="10" t="s">
        <v>1266</v>
      </c>
      <c r="F325" s="10"/>
      <c r="G325" s="11"/>
      <c r="H325" s="11"/>
    </row>
    <row r="326" customFormat="false" ht="23.85" hidden="false" customHeight="false" outlineLevel="0" collapsed="false">
      <c r="A326" s="10" t="s">
        <v>31</v>
      </c>
      <c r="B326" s="10" t="s">
        <v>1267</v>
      </c>
      <c r="C326" s="10" t="s">
        <v>1268</v>
      </c>
      <c r="D326" s="10" t="s">
        <v>1269</v>
      </c>
      <c r="E326" s="10" t="s">
        <v>1270</v>
      </c>
      <c r="F326" s="10"/>
      <c r="G326" s="11"/>
      <c r="H326" s="11"/>
    </row>
    <row r="327" customFormat="false" ht="23.85" hidden="false" customHeight="false" outlineLevel="0" collapsed="false">
      <c r="A327" s="10" t="s">
        <v>31</v>
      </c>
      <c r="B327" s="10" t="s">
        <v>1271</v>
      </c>
      <c r="C327" s="10" t="s">
        <v>1272</v>
      </c>
      <c r="D327" s="10" t="s">
        <v>1273</v>
      </c>
      <c r="E327" s="10" t="s">
        <v>1274</v>
      </c>
      <c r="F327" s="10"/>
      <c r="G327" s="11"/>
      <c r="H327" s="11"/>
    </row>
    <row r="328" customFormat="false" ht="35.05" hidden="false" customHeight="false" outlineLevel="0" collapsed="false">
      <c r="A328" s="10" t="s">
        <v>31</v>
      </c>
      <c r="B328" s="10" t="s">
        <v>1275</v>
      </c>
      <c r="C328" s="10" t="s">
        <v>1276</v>
      </c>
      <c r="D328" s="10" t="s">
        <v>1277</v>
      </c>
      <c r="E328" s="10" t="s">
        <v>1278</v>
      </c>
      <c r="F328" s="10"/>
      <c r="G328" s="11"/>
      <c r="H328" s="11"/>
    </row>
    <row r="329" customFormat="false" ht="23.85" hidden="false" customHeight="false" outlineLevel="0" collapsed="false">
      <c r="A329" s="10" t="s">
        <v>31</v>
      </c>
      <c r="B329" s="10" t="s">
        <v>1279</v>
      </c>
      <c r="C329" s="10" t="s">
        <v>1280</v>
      </c>
      <c r="D329" s="10" t="s">
        <v>1281</v>
      </c>
      <c r="E329" s="10" t="s">
        <v>1282</v>
      </c>
      <c r="F329" s="10"/>
      <c r="G329" s="11"/>
      <c r="H329" s="11"/>
    </row>
    <row r="330" customFormat="false" ht="35.05" hidden="false" customHeight="false" outlineLevel="0" collapsed="false">
      <c r="A330" s="10" t="s">
        <v>31</v>
      </c>
      <c r="B330" s="10" t="s">
        <v>1283</v>
      </c>
      <c r="C330" s="10" t="s">
        <v>1284</v>
      </c>
      <c r="D330" s="10" t="s">
        <v>1285</v>
      </c>
      <c r="E330" s="10" t="s">
        <v>1286</v>
      </c>
      <c r="F330" s="10"/>
      <c r="G330" s="11"/>
      <c r="H330" s="11"/>
    </row>
    <row r="331" customFormat="false" ht="35.05" hidden="false" customHeight="false" outlineLevel="0" collapsed="false">
      <c r="A331" s="10" t="s">
        <v>31</v>
      </c>
      <c r="B331" s="10" t="s">
        <v>1287</v>
      </c>
      <c r="C331" s="10" t="s">
        <v>1288</v>
      </c>
      <c r="D331" s="10" t="s">
        <v>1289</v>
      </c>
      <c r="E331" s="10" t="s">
        <v>1290</v>
      </c>
      <c r="F331" s="10"/>
      <c r="G331" s="11"/>
      <c r="H331" s="11"/>
    </row>
    <row r="332" customFormat="false" ht="35.05" hidden="false" customHeight="false" outlineLevel="0" collapsed="false">
      <c r="A332" s="10" t="s">
        <v>31</v>
      </c>
      <c r="B332" s="10" t="s">
        <v>1291</v>
      </c>
      <c r="C332" s="10" t="s">
        <v>1292</v>
      </c>
      <c r="D332" s="10" t="s">
        <v>1293</v>
      </c>
      <c r="E332" s="10" t="s">
        <v>1294</v>
      </c>
      <c r="F332" s="10"/>
      <c r="G332" s="11"/>
      <c r="H332" s="11"/>
    </row>
    <row r="333" customFormat="false" ht="35.05" hidden="false" customHeight="false" outlineLevel="0" collapsed="false">
      <c r="A333" s="10" t="s">
        <v>31</v>
      </c>
      <c r="B333" s="10" t="s">
        <v>1295</v>
      </c>
      <c r="C333" s="10" t="s">
        <v>1296</v>
      </c>
      <c r="D333" s="10" t="s">
        <v>1297</v>
      </c>
      <c r="E333" s="10" t="s">
        <v>1298</v>
      </c>
      <c r="F333" s="10"/>
      <c r="G333" s="11"/>
      <c r="H333" s="11"/>
    </row>
    <row r="334" customFormat="false" ht="35.05" hidden="false" customHeight="false" outlineLevel="0" collapsed="false">
      <c r="A334" s="10" t="s">
        <v>31</v>
      </c>
      <c r="B334" s="10" t="s">
        <v>1299</v>
      </c>
      <c r="C334" s="10" t="s">
        <v>1300</v>
      </c>
      <c r="D334" s="10" t="s">
        <v>1301</v>
      </c>
      <c r="E334" s="10" t="s">
        <v>1302</v>
      </c>
      <c r="F334" s="10"/>
      <c r="G334" s="11"/>
      <c r="H334" s="11"/>
    </row>
    <row r="335" customFormat="false" ht="35.05" hidden="false" customHeight="false" outlineLevel="0" collapsed="false">
      <c r="A335" s="10" t="s">
        <v>31</v>
      </c>
      <c r="B335" s="10" t="s">
        <v>1303</v>
      </c>
      <c r="C335" s="10" t="s">
        <v>1304</v>
      </c>
      <c r="D335" s="10" t="s">
        <v>1305</v>
      </c>
      <c r="E335" s="10" t="s">
        <v>1306</v>
      </c>
      <c r="F335" s="10"/>
      <c r="G335" s="11"/>
      <c r="H335" s="11"/>
    </row>
    <row r="336" customFormat="false" ht="35.05" hidden="false" customHeight="false" outlineLevel="0" collapsed="false">
      <c r="A336" s="10" t="s">
        <v>31</v>
      </c>
      <c r="B336" s="10" t="s">
        <v>1307</v>
      </c>
      <c r="C336" s="10" t="s">
        <v>1308</v>
      </c>
      <c r="D336" s="10" t="s">
        <v>1309</v>
      </c>
      <c r="E336" s="10" t="s">
        <v>1310</v>
      </c>
      <c r="F336" s="10"/>
      <c r="G336" s="11"/>
      <c r="H336" s="11"/>
    </row>
    <row r="337" customFormat="false" ht="35.05" hidden="false" customHeight="false" outlineLevel="0" collapsed="false">
      <c r="A337" s="10" t="s">
        <v>31</v>
      </c>
      <c r="B337" s="10" t="s">
        <v>1311</v>
      </c>
      <c r="C337" s="10" t="s">
        <v>1312</v>
      </c>
      <c r="D337" s="10" t="s">
        <v>1313</v>
      </c>
      <c r="E337" s="10" t="s">
        <v>1314</v>
      </c>
      <c r="F337" s="10"/>
      <c r="G337" s="11"/>
      <c r="H337" s="11"/>
    </row>
    <row r="338" customFormat="false" ht="35.05" hidden="false" customHeight="false" outlineLevel="0" collapsed="false">
      <c r="A338" s="10" t="s">
        <v>31</v>
      </c>
      <c r="B338" s="10" t="s">
        <v>1315</v>
      </c>
      <c r="C338" s="10" t="s">
        <v>1316</v>
      </c>
      <c r="D338" s="10" t="s">
        <v>1317</v>
      </c>
      <c r="E338" s="10" t="s">
        <v>1318</v>
      </c>
      <c r="F338" s="10"/>
      <c r="G338" s="11"/>
      <c r="H338" s="11"/>
    </row>
    <row r="339" customFormat="false" ht="35.05" hidden="false" customHeight="false" outlineLevel="0" collapsed="false">
      <c r="A339" s="10" t="s">
        <v>31</v>
      </c>
      <c r="B339" s="10" t="s">
        <v>1319</v>
      </c>
      <c r="C339" s="10" t="s">
        <v>1320</v>
      </c>
      <c r="D339" s="10" t="s">
        <v>1321</v>
      </c>
      <c r="E339" s="10" t="s">
        <v>1322</v>
      </c>
      <c r="F339" s="10"/>
      <c r="G339" s="11"/>
      <c r="H339" s="11"/>
    </row>
    <row r="340" customFormat="false" ht="35.05" hidden="false" customHeight="false" outlineLevel="0" collapsed="false">
      <c r="A340" s="10" t="s">
        <v>31</v>
      </c>
      <c r="B340" s="10" t="s">
        <v>1323</v>
      </c>
      <c r="C340" s="10" t="s">
        <v>1324</v>
      </c>
      <c r="D340" s="10" t="s">
        <v>1325</v>
      </c>
      <c r="E340" s="10" t="s">
        <v>1326</v>
      </c>
      <c r="F340" s="10"/>
      <c r="G340" s="11"/>
      <c r="H340" s="11"/>
    </row>
    <row r="341" customFormat="false" ht="35.05" hidden="false" customHeight="false" outlineLevel="0" collapsed="false">
      <c r="A341" s="10" t="s">
        <v>31</v>
      </c>
      <c r="B341" s="10" t="s">
        <v>1327</v>
      </c>
      <c r="C341" s="10" t="s">
        <v>1328</v>
      </c>
      <c r="D341" s="10" t="s">
        <v>1329</v>
      </c>
      <c r="E341" s="10" t="s">
        <v>1330</v>
      </c>
      <c r="F341" s="10"/>
      <c r="G341" s="11"/>
      <c r="H341" s="11"/>
    </row>
    <row r="342" customFormat="false" ht="35.05" hidden="false" customHeight="false" outlineLevel="0" collapsed="false">
      <c r="A342" s="10" t="s">
        <v>31</v>
      </c>
      <c r="B342" s="10" t="s">
        <v>1331</v>
      </c>
      <c r="C342" s="10" t="s">
        <v>1332</v>
      </c>
      <c r="D342" s="10" t="s">
        <v>1333</v>
      </c>
      <c r="E342" s="10" t="s">
        <v>1334</v>
      </c>
      <c r="F342" s="10"/>
      <c r="G342" s="11"/>
      <c r="H342" s="11"/>
    </row>
    <row r="343" customFormat="false" ht="35.05" hidden="false" customHeight="false" outlineLevel="0" collapsed="false">
      <c r="A343" s="10" t="s">
        <v>31</v>
      </c>
      <c r="B343" s="10" t="s">
        <v>1335</v>
      </c>
      <c r="C343" s="10" t="s">
        <v>1336</v>
      </c>
      <c r="D343" s="10" t="s">
        <v>1337</v>
      </c>
      <c r="E343" s="10" t="s">
        <v>1338</v>
      </c>
      <c r="F343" s="10"/>
      <c r="G343" s="11"/>
      <c r="H343" s="11"/>
    </row>
    <row r="344" customFormat="false" ht="35.05" hidden="false" customHeight="false" outlineLevel="0" collapsed="false">
      <c r="A344" s="10" t="s">
        <v>31</v>
      </c>
      <c r="B344" s="10" t="s">
        <v>1339</v>
      </c>
      <c r="C344" s="10" t="s">
        <v>1340</v>
      </c>
      <c r="D344" s="10" t="s">
        <v>1341</v>
      </c>
      <c r="E344" s="10" t="s">
        <v>1342</v>
      </c>
      <c r="F344" s="10"/>
      <c r="G344" s="11"/>
      <c r="H344" s="11"/>
    </row>
    <row r="345" customFormat="false" ht="35.05" hidden="false" customHeight="false" outlineLevel="0" collapsed="false">
      <c r="A345" s="10" t="s">
        <v>31</v>
      </c>
      <c r="B345" s="10" t="s">
        <v>1343</v>
      </c>
      <c r="C345" s="10" t="s">
        <v>1344</v>
      </c>
      <c r="D345" s="10" t="s">
        <v>1345</v>
      </c>
      <c r="E345" s="10" t="s">
        <v>1346</v>
      </c>
      <c r="F345" s="10"/>
      <c r="G345" s="11"/>
      <c r="H345" s="11"/>
    </row>
    <row r="346" customFormat="false" ht="23.85" hidden="false" customHeight="false" outlineLevel="0" collapsed="false">
      <c r="A346" s="10" t="s">
        <v>31</v>
      </c>
      <c r="B346" s="10" t="s">
        <v>1347</v>
      </c>
      <c r="C346" s="10" t="s">
        <v>1348</v>
      </c>
      <c r="D346" s="10" t="s">
        <v>1349</v>
      </c>
      <c r="E346" s="10" t="s">
        <v>1350</v>
      </c>
      <c r="F346" s="10"/>
      <c r="G346" s="11"/>
      <c r="H346" s="11"/>
    </row>
    <row r="347" customFormat="false" ht="23.85" hidden="false" customHeight="false" outlineLevel="0" collapsed="false">
      <c r="A347" s="10" t="s">
        <v>31</v>
      </c>
      <c r="B347" s="10" t="s">
        <v>1351</v>
      </c>
      <c r="C347" s="10" t="s">
        <v>1352</v>
      </c>
      <c r="D347" s="10" t="s">
        <v>1353</v>
      </c>
      <c r="E347" s="10" t="s">
        <v>1354</v>
      </c>
      <c r="F347" s="10"/>
      <c r="G347" s="11"/>
      <c r="H347" s="11"/>
    </row>
    <row r="348" customFormat="false" ht="23.85" hidden="false" customHeight="false" outlineLevel="0" collapsed="false">
      <c r="A348" s="10" t="s">
        <v>31</v>
      </c>
      <c r="B348" s="10" t="s">
        <v>1355</v>
      </c>
      <c r="C348" s="10" t="s">
        <v>1356</v>
      </c>
      <c r="D348" s="10" t="s">
        <v>1357</v>
      </c>
      <c r="E348" s="10" t="s">
        <v>1358</v>
      </c>
      <c r="F348" s="10"/>
      <c r="G348" s="11"/>
      <c r="H348" s="11"/>
    </row>
    <row r="349" customFormat="false" ht="35.05" hidden="false" customHeight="false" outlineLevel="0" collapsed="false">
      <c r="A349" s="10" t="s">
        <v>31</v>
      </c>
      <c r="B349" s="10" t="s">
        <v>1359</v>
      </c>
      <c r="C349" s="10" t="s">
        <v>1360</v>
      </c>
      <c r="D349" s="10" t="s">
        <v>1361</v>
      </c>
      <c r="E349" s="10" t="s">
        <v>1362</v>
      </c>
      <c r="F349" s="10"/>
      <c r="G349" s="11"/>
      <c r="H349" s="11"/>
    </row>
    <row r="350" customFormat="false" ht="35.05" hidden="false" customHeight="false" outlineLevel="0" collapsed="false">
      <c r="A350" s="10" t="s">
        <v>31</v>
      </c>
      <c r="B350" s="10" t="s">
        <v>1363</v>
      </c>
      <c r="C350" s="10" t="s">
        <v>1364</v>
      </c>
      <c r="D350" s="10" t="s">
        <v>1365</v>
      </c>
      <c r="E350" s="10" t="s">
        <v>1366</v>
      </c>
      <c r="F350" s="10"/>
      <c r="G350" s="11"/>
      <c r="H350" s="11"/>
    </row>
    <row r="351" customFormat="false" ht="23.85" hidden="false" customHeight="false" outlineLevel="0" collapsed="false">
      <c r="A351" s="10" t="s">
        <v>31</v>
      </c>
      <c r="B351" s="10" t="s">
        <v>1367</v>
      </c>
      <c r="C351" s="10" t="s">
        <v>1368</v>
      </c>
      <c r="D351" s="10" t="s">
        <v>1369</v>
      </c>
      <c r="E351" s="10" t="s">
        <v>1370</v>
      </c>
      <c r="F351" s="10"/>
      <c r="G351" s="11"/>
      <c r="H351" s="11"/>
    </row>
    <row r="352" customFormat="false" ht="35.05" hidden="false" customHeight="false" outlineLevel="0" collapsed="false">
      <c r="A352" s="10" t="s">
        <v>31</v>
      </c>
      <c r="B352" s="10" t="s">
        <v>1371</v>
      </c>
      <c r="C352" s="10" t="s">
        <v>1372</v>
      </c>
      <c r="D352" s="10" t="s">
        <v>1373</v>
      </c>
      <c r="E352" s="10" t="s">
        <v>1374</v>
      </c>
      <c r="F352" s="10"/>
      <c r="G352" s="11"/>
      <c r="H352" s="11"/>
    </row>
    <row r="353" customFormat="false" ht="23.85" hidden="false" customHeight="false" outlineLevel="0" collapsed="false">
      <c r="A353" s="10" t="s">
        <v>31</v>
      </c>
      <c r="B353" s="10" t="s">
        <v>1375</v>
      </c>
      <c r="C353" s="10" t="s">
        <v>1376</v>
      </c>
      <c r="D353" s="10" t="s">
        <v>1377</v>
      </c>
      <c r="E353" s="10" t="s">
        <v>1378</v>
      </c>
      <c r="F353" s="10"/>
      <c r="G353" s="11"/>
      <c r="H353" s="11"/>
    </row>
    <row r="354" customFormat="false" ht="35.05" hidden="false" customHeight="false" outlineLevel="0" collapsed="false">
      <c r="A354" s="10" t="s">
        <v>31</v>
      </c>
      <c r="B354" s="10" t="s">
        <v>1379</v>
      </c>
      <c r="C354" s="10" t="s">
        <v>1380</v>
      </c>
      <c r="D354" s="10" t="s">
        <v>1381</v>
      </c>
      <c r="E354" s="10" t="s">
        <v>1382</v>
      </c>
      <c r="F354" s="10"/>
      <c r="G354" s="11"/>
      <c r="H354" s="11"/>
    </row>
    <row r="355" customFormat="false" ht="35.05" hidden="false" customHeight="false" outlineLevel="0" collapsed="false">
      <c r="A355" s="10" t="s">
        <v>31</v>
      </c>
      <c r="B355" s="10" t="s">
        <v>1383</v>
      </c>
      <c r="C355" s="10" t="s">
        <v>1384</v>
      </c>
      <c r="D355" s="10" t="s">
        <v>1385</v>
      </c>
      <c r="E355" s="10" t="s">
        <v>1386</v>
      </c>
      <c r="F355" s="10"/>
      <c r="G355" s="11"/>
      <c r="H355" s="11"/>
    </row>
    <row r="356" customFormat="false" ht="35.05" hidden="false" customHeight="false" outlineLevel="0" collapsed="false">
      <c r="A356" s="10" t="s">
        <v>31</v>
      </c>
      <c r="B356" s="10" t="s">
        <v>1387</v>
      </c>
      <c r="C356" s="10" t="s">
        <v>1388</v>
      </c>
      <c r="D356" s="10" t="s">
        <v>1389</v>
      </c>
      <c r="E356" s="10" t="s">
        <v>1390</v>
      </c>
      <c r="F356" s="10"/>
      <c r="G356" s="11"/>
      <c r="H356" s="11"/>
    </row>
    <row r="357" customFormat="false" ht="23.85" hidden="false" customHeight="false" outlineLevel="0" collapsed="false">
      <c r="A357" s="10" t="s">
        <v>31</v>
      </c>
      <c r="B357" s="10" t="s">
        <v>1391</v>
      </c>
      <c r="C357" s="10" t="s">
        <v>1392</v>
      </c>
      <c r="D357" s="10" t="s">
        <v>1393</v>
      </c>
      <c r="E357" s="10" t="s">
        <v>1394</v>
      </c>
      <c r="F357" s="10"/>
      <c r="G357" s="11"/>
      <c r="H357" s="11"/>
    </row>
    <row r="358" customFormat="false" ht="35.05" hidden="false" customHeight="false" outlineLevel="0" collapsed="false">
      <c r="A358" s="10" t="s">
        <v>31</v>
      </c>
      <c r="B358" s="10" t="s">
        <v>1395</v>
      </c>
      <c r="C358" s="10" t="s">
        <v>1396</v>
      </c>
      <c r="D358" s="10" t="s">
        <v>1397</v>
      </c>
      <c r="E358" s="10" t="s">
        <v>1398</v>
      </c>
      <c r="F358" s="10"/>
      <c r="G358" s="11"/>
      <c r="H358" s="11"/>
    </row>
    <row r="359" customFormat="false" ht="35.05" hidden="false" customHeight="false" outlineLevel="0" collapsed="false">
      <c r="A359" s="10" t="s">
        <v>31</v>
      </c>
      <c r="B359" s="10" t="s">
        <v>1399</v>
      </c>
      <c r="C359" s="10" t="s">
        <v>1400</v>
      </c>
      <c r="D359" s="10" t="s">
        <v>1401</v>
      </c>
      <c r="E359" s="10" t="s">
        <v>1402</v>
      </c>
      <c r="F359" s="10"/>
      <c r="G359" s="11"/>
      <c r="H359" s="11"/>
    </row>
    <row r="360" customFormat="false" ht="35.05" hidden="false" customHeight="false" outlineLevel="0" collapsed="false">
      <c r="A360" s="10" t="s">
        <v>31</v>
      </c>
      <c r="B360" s="10" t="s">
        <v>1403</v>
      </c>
      <c r="C360" s="10" t="s">
        <v>1404</v>
      </c>
      <c r="D360" s="10" t="s">
        <v>1405</v>
      </c>
      <c r="E360" s="10" t="s">
        <v>1406</v>
      </c>
      <c r="F360" s="10"/>
      <c r="G360" s="11"/>
      <c r="H360" s="11"/>
    </row>
    <row r="361" customFormat="false" ht="35.05" hidden="false" customHeight="false" outlineLevel="0" collapsed="false">
      <c r="A361" s="10" t="s">
        <v>31</v>
      </c>
      <c r="B361" s="10" t="s">
        <v>1407</v>
      </c>
      <c r="C361" s="10" t="s">
        <v>1408</v>
      </c>
      <c r="D361" s="10" t="s">
        <v>1409</v>
      </c>
      <c r="E361" s="10" t="s">
        <v>1410</v>
      </c>
      <c r="F361" s="10"/>
      <c r="G361" s="11"/>
      <c r="H361" s="11"/>
    </row>
    <row r="362" customFormat="false" ht="35.05" hidden="false" customHeight="false" outlineLevel="0" collapsed="false">
      <c r="A362" s="10" t="s">
        <v>31</v>
      </c>
      <c r="B362" s="10" t="s">
        <v>1411</v>
      </c>
      <c r="C362" s="10" t="s">
        <v>1412</v>
      </c>
      <c r="D362" s="10" t="s">
        <v>1413</v>
      </c>
      <c r="E362" s="10" t="s">
        <v>1414</v>
      </c>
      <c r="F362" s="10"/>
      <c r="G362" s="11"/>
      <c r="H362" s="11"/>
    </row>
    <row r="363" customFormat="false" ht="35.05" hidden="false" customHeight="false" outlineLevel="0" collapsed="false">
      <c r="A363" s="10" t="s">
        <v>31</v>
      </c>
      <c r="B363" s="10" t="s">
        <v>1415</v>
      </c>
      <c r="C363" s="10" t="s">
        <v>1416</v>
      </c>
      <c r="D363" s="10" t="s">
        <v>1417</v>
      </c>
      <c r="E363" s="10" t="s">
        <v>1418</v>
      </c>
      <c r="F363" s="10"/>
      <c r="G363" s="11"/>
      <c r="H363" s="11"/>
    </row>
    <row r="364" customFormat="false" ht="35.05" hidden="false" customHeight="false" outlineLevel="0" collapsed="false">
      <c r="A364" s="10" t="s">
        <v>31</v>
      </c>
      <c r="B364" s="10" t="s">
        <v>1419</v>
      </c>
      <c r="C364" s="10" t="s">
        <v>1420</v>
      </c>
      <c r="D364" s="10" t="s">
        <v>1421</v>
      </c>
      <c r="E364" s="10" t="s">
        <v>1422</v>
      </c>
      <c r="F364" s="10"/>
      <c r="G364" s="11"/>
      <c r="H364" s="11"/>
    </row>
    <row r="365" customFormat="false" ht="35.05" hidden="false" customHeight="false" outlineLevel="0" collapsed="false">
      <c r="A365" s="10" t="s">
        <v>31</v>
      </c>
      <c r="B365" s="10" t="s">
        <v>1423</v>
      </c>
      <c r="C365" s="10" t="s">
        <v>1424</v>
      </c>
      <c r="D365" s="10" t="s">
        <v>1425</v>
      </c>
      <c r="E365" s="10" t="s">
        <v>1426</v>
      </c>
      <c r="F365" s="10"/>
      <c r="G365" s="11"/>
      <c r="H365" s="11"/>
    </row>
    <row r="366" customFormat="false" ht="35.05" hidden="false" customHeight="false" outlineLevel="0" collapsed="false">
      <c r="A366" s="10" t="s">
        <v>31</v>
      </c>
      <c r="B366" s="10" t="s">
        <v>1427</v>
      </c>
      <c r="C366" s="10" t="s">
        <v>1428</v>
      </c>
      <c r="D366" s="10" t="s">
        <v>1429</v>
      </c>
      <c r="E366" s="10" t="s">
        <v>1430</v>
      </c>
      <c r="F366" s="10"/>
      <c r="G366" s="11"/>
      <c r="H366" s="11"/>
    </row>
    <row r="367" customFormat="false" ht="35.05" hidden="false" customHeight="false" outlineLevel="0" collapsed="false">
      <c r="A367" s="10" t="s">
        <v>31</v>
      </c>
      <c r="B367" s="10" t="s">
        <v>1431</v>
      </c>
      <c r="C367" s="10" t="s">
        <v>1432</v>
      </c>
      <c r="D367" s="10" t="s">
        <v>1433</v>
      </c>
      <c r="E367" s="10" t="s">
        <v>1434</v>
      </c>
      <c r="F367" s="10"/>
      <c r="G367" s="11"/>
      <c r="H367" s="11"/>
    </row>
    <row r="368" customFormat="false" ht="35.05" hidden="false" customHeight="false" outlineLevel="0" collapsed="false">
      <c r="A368" s="10" t="s">
        <v>31</v>
      </c>
      <c r="B368" s="10" t="s">
        <v>1435</v>
      </c>
      <c r="C368" s="10" t="s">
        <v>1436</v>
      </c>
      <c r="D368" s="10" t="s">
        <v>1437</v>
      </c>
      <c r="E368" s="10" t="s">
        <v>1438</v>
      </c>
      <c r="F368" s="10"/>
      <c r="G368" s="11"/>
      <c r="H368" s="11"/>
    </row>
    <row r="369" customFormat="false" ht="35.05" hidden="false" customHeight="false" outlineLevel="0" collapsed="false">
      <c r="A369" s="10" t="s">
        <v>31</v>
      </c>
      <c r="B369" s="10" t="s">
        <v>1439</v>
      </c>
      <c r="C369" s="10" t="s">
        <v>1440</v>
      </c>
      <c r="D369" s="10" t="s">
        <v>1441</v>
      </c>
      <c r="E369" s="10" t="s">
        <v>1442</v>
      </c>
      <c r="F369" s="10"/>
      <c r="G369" s="11"/>
      <c r="H369" s="11"/>
    </row>
    <row r="370" customFormat="false" ht="35.05" hidden="false" customHeight="false" outlineLevel="0" collapsed="false">
      <c r="A370" s="10" t="s">
        <v>31</v>
      </c>
      <c r="B370" s="10" t="s">
        <v>1443</v>
      </c>
      <c r="C370" s="10" t="s">
        <v>1444</v>
      </c>
      <c r="D370" s="10" t="s">
        <v>1445</v>
      </c>
      <c r="E370" s="10" t="s">
        <v>1446</v>
      </c>
      <c r="F370" s="10"/>
      <c r="G370" s="11"/>
      <c r="H370" s="11"/>
    </row>
    <row r="371" customFormat="false" ht="46.25" hidden="false" customHeight="false" outlineLevel="0" collapsed="false">
      <c r="A371" s="10" t="s">
        <v>31</v>
      </c>
      <c r="B371" s="10" t="s">
        <v>1447</v>
      </c>
      <c r="C371" s="10" t="s">
        <v>1448</v>
      </c>
      <c r="D371" s="10" t="s">
        <v>1449</v>
      </c>
      <c r="E371" s="10" t="s">
        <v>1450</v>
      </c>
      <c r="F371" s="10"/>
      <c r="G371" s="11"/>
      <c r="H371" s="11"/>
    </row>
    <row r="372" customFormat="false" ht="35.05" hidden="false" customHeight="false" outlineLevel="0" collapsed="false">
      <c r="A372" s="10" t="s">
        <v>31</v>
      </c>
      <c r="B372" s="10" t="s">
        <v>1451</v>
      </c>
      <c r="C372" s="10" t="s">
        <v>1452</v>
      </c>
      <c r="D372" s="10" t="s">
        <v>1453</v>
      </c>
      <c r="E372" s="10" t="s">
        <v>1454</v>
      </c>
      <c r="F372" s="10"/>
      <c r="G372" s="11"/>
      <c r="H372" s="11"/>
    </row>
    <row r="373" customFormat="false" ht="46.25" hidden="false" customHeight="false" outlineLevel="0" collapsed="false">
      <c r="A373" s="10" t="s">
        <v>31</v>
      </c>
      <c r="B373" s="10" t="s">
        <v>1455</v>
      </c>
      <c r="C373" s="10" t="s">
        <v>1456</v>
      </c>
      <c r="D373" s="10" t="s">
        <v>1457</v>
      </c>
      <c r="E373" s="10" t="s">
        <v>1458</v>
      </c>
      <c r="F373" s="10"/>
      <c r="G373" s="11"/>
      <c r="H373" s="11"/>
    </row>
    <row r="374" customFormat="false" ht="35.05" hidden="false" customHeight="false" outlineLevel="0" collapsed="false">
      <c r="A374" s="10" t="s">
        <v>31</v>
      </c>
      <c r="B374" s="10" t="s">
        <v>1459</v>
      </c>
      <c r="C374" s="10" t="s">
        <v>1460</v>
      </c>
      <c r="D374" s="10" t="s">
        <v>1461</v>
      </c>
      <c r="E374" s="10" t="s">
        <v>1462</v>
      </c>
      <c r="F374" s="10"/>
      <c r="G374" s="11"/>
      <c r="H374" s="11"/>
    </row>
    <row r="375" customFormat="false" ht="35.05" hidden="false" customHeight="false" outlineLevel="0" collapsed="false">
      <c r="A375" s="10" t="s">
        <v>31</v>
      </c>
      <c r="B375" s="10" t="s">
        <v>1463</v>
      </c>
      <c r="C375" s="10" t="s">
        <v>1464</v>
      </c>
      <c r="D375" s="10" t="s">
        <v>1465</v>
      </c>
      <c r="E375" s="10" t="s">
        <v>1466</v>
      </c>
      <c r="F375" s="10"/>
      <c r="G375" s="11"/>
      <c r="H375" s="11"/>
    </row>
    <row r="376" customFormat="false" ht="35.05" hidden="false" customHeight="false" outlineLevel="0" collapsed="false">
      <c r="A376" s="10" t="s">
        <v>31</v>
      </c>
      <c r="B376" s="10" t="s">
        <v>1467</v>
      </c>
      <c r="C376" s="10" t="s">
        <v>1468</v>
      </c>
      <c r="D376" s="10" t="s">
        <v>1469</v>
      </c>
      <c r="E376" s="10" t="s">
        <v>1470</v>
      </c>
      <c r="F376" s="10"/>
      <c r="G376" s="11"/>
      <c r="H376" s="11"/>
    </row>
    <row r="377" customFormat="false" ht="35.05" hidden="false" customHeight="false" outlineLevel="0" collapsed="false">
      <c r="A377" s="10" t="s">
        <v>31</v>
      </c>
      <c r="B377" s="10" t="s">
        <v>1471</v>
      </c>
      <c r="C377" s="10" t="s">
        <v>1472</v>
      </c>
      <c r="D377" s="10" t="s">
        <v>1473</v>
      </c>
      <c r="E377" s="10" t="s">
        <v>1474</v>
      </c>
      <c r="F377" s="10"/>
      <c r="G377" s="11"/>
      <c r="H377" s="11"/>
    </row>
    <row r="378" customFormat="false" ht="35.05" hidden="false" customHeight="false" outlineLevel="0" collapsed="false">
      <c r="A378" s="10" t="s">
        <v>31</v>
      </c>
      <c r="B378" s="10" t="s">
        <v>1475</v>
      </c>
      <c r="C378" s="10" t="s">
        <v>1476</v>
      </c>
      <c r="D378" s="10" t="s">
        <v>1477</v>
      </c>
      <c r="E378" s="10" t="s">
        <v>1478</v>
      </c>
      <c r="F378" s="10"/>
      <c r="G378" s="11"/>
      <c r="H378" s="11"/>
    </row>
    <row r="379" customFormat="false" ht="35.05" hidden="false" customHeight="false" outlineLevel="0" collapsed="false">
      <c r="A379" s="10" t="s">
        <v>31</v>
      </c>
      <c r="B379" s="10" t="s">
        <v>1479</v>
      </c>
      <c r="C379" s="10" t="s">
        <v>1480</v>
      </c>
      <c r="D379" s="10" t="s">
        <v>1481</v>
      </c>
      <c r="E379" s="10" t="s">
        <v>1482</v>
      </c>
      <c r="F379" s="10"/>
      <c r="G379" s="11"/>
      <c r="H379" s="11"/>
    </row>
    <row r="380" customFormat="false" ht="35.05" hidden="false" customHeight="false" outlineLevel="0" collapsed="false">
      <c r="A380" s="10" t="s">
        <v>31</v>
      </c>
      <c r="B380" s="10" t="s">
        <v>1483</v>
      </c>
      <c r="C380" s="10" t="s">
        <v>1484</v>
      </c>
      <c r="D380" s="10" t="s">
        <v>1485</v>
      </c>
      <c r="E380" s="10" t="s">
        <v>1486</v>
      </c>
      <c r="F380" s="10"/>
      <c r="G380" s="11"/>
      <c r="H380" s="11"/>
    </row>
    <row r="381" customFormat="false" ht="35.05" hidden="false" customHeight="false" outlineLevel="0" collapsed="false">
      <c r="A381" s="10" t="s">
        <v>31</v>
      </c>
      <c r="B381" s="10" t="s">
        <v>1487</v>
      </c>
      <c r="C381" s="10" t="s">
        <v>1488</v>
      </c>
      <c r="D381" s="10" t="s">
        <v>1489</v>
      </c>
      <c r="E381" s="10" t="s">
        <v>1490</v>
      </c>
      <c r="F381" s="10"/>
      <c r="G381" s="11"/>
      <c r="H381" s="11"/>
    </row>
    <row r="382" customFormat="false" ht="35.05" hidden="false" customHeight="false" outlineLevel="0" collapsed="false">
      <c r="A382" s="10" t="s">
        <v>31</v>
      </c>
      <c r="B382" s="10" t="s">
        <v>1491</v>
      </c>
      <c r="C382" s="10" t="s">
        <v>1492</v>
      </c>
      <c r="D382" s="10" t="s">
        <v>1493</v>
      </c>
      <c r="E382" s="10" t="s">
        <v>1494</v>
      </c>
      <c r="F382" s="10"/>
      <c r="G382" s="11"/>
      <c r="H382" s="11"/>
    </row>
    <row r="383" customFormat="false" ht="35.05" hidden="false" customHeight="false" outlineLevel="0" collapsed="false">
      <c r="A383" s="10" t="s">
        <v>31</v>
      </c>
      <c r="B383" s="10" t="s">
        <v>1495</v>
      </c>
      <c r="C383" s="10" t="s">
        <v>1496</v>
      </c>
      <c r="D383" s="10" t="s">
        <v>1497</v>
      </c>
      <c r="E383" s="10" t="s">
        <v>1498</v>
      </c>
      <c r="F383" s="10"/>
      <c r="G383" s="11"/>
      <c r="H383" s="11"/>
    </row>
    <row r="384" customFormat="false" ht="35.05" hidden="false" customHeight="false" outlineLevel="0" collapsed="false">
      <c r="A384" s="10" t="s">
        <v>31</v>
      </c>
      <c r="B384" s="10" t="s">
        <v>1499</v>
      </c>
      <c r="C384" s="10" t="s">
        <v>1500</v>
      </c>
      <c r="D384" s="10" t="s">
        <v>1501</v>
      </c>
      <c r="E384" s="10" t="s">
        <v>1502</v>
      </c>
      <c r="F384" s="10"/>
      <c r="G384" s="11"/>
      <c r="H384" s="11"/>
    </row>
    <row r="385" customFormat="false" ht="35.05" hidden="false" customHeight="false" outlineLevel="0" collapsed="false">
      <c r="A385" s="10" t="s">
        <v>31</v>
      </c>
      <c r="B385" s="10" t="s">
        <v>1503</v>
      </c>
      <c r="C385" s="10" t="s">
        <v>1504</v>
      </c>
      <c r="D385" s="10" t="s">
        <v>1505</v>
      </c>
      <c r="E385" s="10" t="s">
        <v>1506</v>
      </c>
      <c r="F385" s="10"/>
      <c r="G385" s="11"/>
      <c r="H385" s="11"/>
    </row>
    <row r="386" customFormat="false" ht="35.05" hidden="false" customHeight="false" outlineLevel="0" collapsed="false">
      <c r="A386" s="10" t="s">
        <v>31</v>
      </c>
      <c r="B386" s="10" t="s">
        <v>1507</v>
      </c>
      <c r="C386" s="10" t="s">
        <v>1508</v>
      </c>
      <c r="D386" s="10" t="s">
        <v>1509</v>
      </c>
      <c r="E386" s="10" t="s">
        <v>1510</v>
      </c>
      <c r="F386" s="10"/>
      <c r="G386" s="11"/>
      <c r="H386" s="11"/>
    </row>
    <row r="387" customFormat="false" ht="35.05" hidden="false" customHeight="false" outlineLevel="0" collapsed="false">
      <c r="A387" s="10" t="s">
        <v>31</v>
      </c>
      <c r="B387" s="10" t="s">
        <v>1511</v>
      </c>
      <c r="C387" s="10" t="s">
        <v>1512</v>
      </c>
      <c r="D387" s="10" t="s">
        <v>1513</v>
      </c>
      <c r="E387" s="10" t="s">
        <v>1514</v>
      </c>
      <c r="F387" s="10"/>
      <c r="G387" s="11"/>
      <c r="H387" s="11"/>
    </row>
    <row r="388" customFormat="false" ht="35.05" hidden="false" customHeight="false" outlineLevel="0" collapsed="false">
      <c r="A388" s="10" t="s">
        <v>31</v>
      </c>
      <c r="B388" s="10" t="s">
        <v>1515</v>
      </c>
      <c r="C388" s="10" t="s">
        <v>1516</v>
      </c>
      <c r="D388" s="10" t="s">
        <v>1517</v>
      </c>
      <c r="E388" s="10" t="s">
        <v>1518</v>
      </c>
      <c r="F388" s="10"/>
      <c r="G388" s="11"/>
      <c r="H388" s="11"/>
    </row>
    <row r="389" customFormat="false" ht="35.05" hidden="false" customHeight="false" outlineLevel="0" collapsed="false">
      <c r="A389" s="10" t="s">
        <v>31</v>
      </c>
      <c r="B389" s="10" t="s">
        <v>1519</v>
      </c>
      <c r="C389" s="10" t="s">
        <v>1520</v>
      </c>
      <c r="D389" s="10" t="s">
        <v>1521</v>
      </c>
      <c r="E389" s="10" t="s">
        <v>1522</v>
      </c>
      <c r="F389" s="10"/>
      <c r="G389" s="11"/>
      <c r="H389" s="11"/>
    </row>
    <row r="390" customFormat="false" ht="35.05" hidden="false" customHeight="false" outlineLevel="0" collapsed="false">
      <c r="A390" s="10" t="s">
        <v>31</v>
      </c>
      <c r="B390" s="10" t="s">
        <v>1523</v>
      </c>
      <c r="C390" s="10" t="s">
        <v>1524</v>
      </c>
      <c r="D390" s="10" t="s">
        <v>1525</v>
      </c>
      <c r="E390" s="10" t="s">
        <v>1526</v>
      </c>
      <c r="F390" s="10"/>
      <c r="G390" s="11"/>
      <c r="H390" s="11"/>
    </row>
    <row r="391" customFormat="false" ht="35.05" hidden="false" customHeight="false" outlineLevel="0" collapsed="false">
      <c r="A391" s="10" t="s">
        <v>31</v>
      </c>
      <c r="B391" s="10" t="s">
        <v>1527</v>
      </c>
      <c r="C391" s="10" t="s">
        <v>1528</v>
      </c>
      <c r="D391" s="10" t="s">
        <v>1529</v>
      </c>
      <c r="E391" s="10" t="s">
        <v>1530</v>
      </c>
      <c r="F391" s="10"/>
      <c r="G391" s="11"/>
      <c r="H391" s="11"/>
    </row>
    <row r="392" customFormat="false" ht="35.05" hidden="false" customHeight="false" outlineLevel="0" collapsed="false">
      <c r="A392" s="10" t="s">
        <v>31</v>
      </c>
      <c r="B392" s="10" t="s">
        <v>1531</v>
      </c>
      <c r="C392" s="10" t="s">
        <v>1532</v>
      </c>
      <c r="D392" s="10" t="s">
        <v>1533</v>
      </c>
      <c r="E392" s="10" t="s">
        <v>1534</v>
      </c>
      <c r="F392" s="10"/>
      <c r="G392" s="11"/>
      <c r="H392" s="11"/>
    </row>
    <row r="393" customFormat="false" ht="35.05" hidden="false" customHeight="false" outlineLevel="0" collapsed="false">
      <c r="A393" s="10" t="s">
        <v>31</v>
      </c>
      <c r="B393" s="10" t="s">
        <v>1535</v>
      </c>
      <c r="C393" s="10" t="s">
        <v>1536</v>
      </c>
      <c r="D393" s="10" t="s">
        <v>1537</v>
      </c>
      <c r="E393" s="10" t="s">
        <v>1538</v>
      </c>
      <c r="F393" s="10"/>
      <c r="G393" s="11"/>
      <c r="H393" s="11"/>
    </row>
    <row r="394" customFormat="false" ht="35.05" hidden="false" customHeight="false" outlineLevel="0" collapsed="false">
      <c r="A394" s="10" t="s">
        <v>31</v>
      </c>
      <c r="B394" s="10" t="s">
        <v>1539</v>
      </c>
      <c r="C394" s="10" t="s">
        <v>1540</v>
      </c>
      <c r="D394" s="10" t="s">
        <v>1541</v>
      </c>
      <c r="E394" s="10" t="s">
        <v>1542</v>
      </c>
      <c r="F394" s="10"/>
      <c r="G394" s="11"/>
      <c r="H394" s="11"/>
    </row>
    <row r="395" customFormat="false" ht="35.05" hidden="false" customHeight="false" outlineLevel="0" collapsed="false">
      <c r="A395" s="10" t="s">
        <v>31</v>
      </c>
      <c r="B395" s="10" t="s">
        <v>1543</v>
      </c>
      <c r="C395" s="10" t="s">
        <v>1544</v>
      </c>
      <c r="D395" s="10" t="s">
        <v>1545</v>
      </c>
      <c r="E395" s="10" t="s">
        <v>1546</v>
      </c>
      <c r="F395" s="10"/>
      <c r="G395" s="11"/>
      <c r="H395" s="11"/>
    </row>
    <row r="396" customFormat="false" ht="35.05" hidden="false" customHeight="false" outlineLevel="0" collapsed="false">
      <c r="A396" s="10" t="s">
        <v>31</v>
      </c>
      <c r="B396" s="10" t="s">
        <v>1547</v>
      </c>
      <c r="C396" s="10" t="s">
        <v>1548</v>
      </c>
      <c r="D396" s="10" t="s">
        <v>1549</v>
      </c>
      <c r="E396" s="10" t="s">
        <v>1550</v>
      </c>
      <c r="F396" s="10"/>
      <c r="G396" s="11"/>
      <c r="H396" s="11"/>
    </row>
    <row r="397" customFormat="false" ht="35.05" hidden="false" customHeight="false" outlineLevel="0" collapsed="false">
      <c r="A397" s="10" t="s">
        <v>31</v>
      </c>
      <c r="B397" s="10" t="s">
        <v>1551</v>
      </c>
      <c r="C397" s="10" t="s">
        <v>1552</v>
      </c>
      <c r="D397" s="10" t="s">
        <v>1553</v>
      </c>
      <c r="E397" s="10" t="s">
        <v>1554</v>
      </c>
      <c r="F397" s="10"/>
      <c r="G397" s="11"/>
      <c r="H397" s="11"/>
    </row>
    <row r="398" customFormat="false" ht="35.05" hidden="false" customHeight="false" outlineLevel="0" collapsed="false">
      <c r="A398" s="10" t="s">
        <v>31</v>
      </c>
      <c r="B398" s="10" t="s">
        <v>1555</v>
      </c>
      <c r="C398" s="10" t="s">
        <v>1556</v>
      </c>
      <c r="D398" s="10" t="s">
        <v>1557</v>
      </c>
      <c r="E398" s="10" t="s">
        <v>1558</v>
      </c>
      <c r="F398" s="10"/>
      <c r="G398" s="11"/>
      <c r="H398" s="11"/>
    </row>
    <row r="399" customFormat="false" ht="35.05" hidden="false" customHeight="false" outlineLevel="0" collapsed="false">
      <c r="A399" s="10" t="s">
        <v>31</v>
      </c>
      <c r="B399" s="10" t="s">
        <v>1559</v>
      </c>
      <c r="C399" s="10" t="s">
        <v>1560</v>
      </c>
      <c r="D399" s="10" t="s">
        <v>1561</v>
      </c>
      <c r="E399" s="10" t="s">
        <v>1562</v>
      </c>
      <c r="F399" s="10"/>
      <c r="G399" s="11"/>
      <c r="H399" s="11"/>
    </row>
    <row r="400" customFormat="false" ht="35.05" hidden="false" customHeight="false" outlineLevel="0" collapsed="false">
      <c r="A400" s="10" t="s">
        <v>31</v>
      </c>
      <c r="B400" s="10" t="s">
        <v>1563</v>
      </c>
      <c r="C400" s="10" t="s">
        <v>1564</v>
      </c>
      <c r="D400" s="10" t="s">
        <v>1565</v>
      </c>
      <c r="E400" s="10" t="s">
        <v>1566</v>
      </c>
      <c r="F400" s="10"/>
      <c r="G400" s="11"/>
      <c r="H400" s="11"/>
    </row>
    <row r="401" customFormat="false" ht="35.05" hidden="false" customHeight="false" outlineLevel="0" collapsed="false">
      <c r="A401" s="10" t="s">
        <v>31</v>
      </c>
      <c r="B401" s="10" t="s">
        <v>1567</v>
      </c>
      <c r="C401" s="10" t="s">
        <v>1568</v>
      </c>
      <c r="D401" s="10" t="s">
        <v>1569</v>
      </c>
      <c r="E401" s="10" t="s">
        <v>1570</v>
      </c>
      <c r="F401" s="10"/>
      <c r="G401" s="11"/>
      <c r="H401" s="11"/>
    </row>
    <row r="402" customFormat="false" ht="35.05" hidden="false" customHeight="false" outlineLevel="0" collapsed="false">
      <c r="A402" s="10" t="s">
        <v>31</v>
      </c>
      <c r="B402" s="10" t="s">
        <v>1571</v>
      </c>
      <c r="C402" s="10" t="s">
        <v>1572</v>
      </c>
      <c r="D402" s="10" t="s">
        <v>1573</v>
      </c>
      <c r="E402" s="10" t="s">
        <v>1574</v>
      </c>
      <c r="F402" s="10"/>
      <c r="G402" s="11"/>
      <c r="H402" s="11"/>
    </row>
    <row r="403" customFormat="false" ht="35.05" hidden="false" customHeight="false" outlineLevel="0" collapsed="false">
      <c r="A403" s="10" t="s">
        <v>31</v>
      </c>
      <c r="B403" s="10" t="s">
        <v>1575</v>
      </c>
      <c r="C403" s="10" t="s">
        <v>1576</v>
      </c>
      <c r="D403" s="10" t="s">
        <v>1577</v>
      </c>
      <c r="E403" s="10" t="s">
        <v>1578</v>
      </c>
      <c r="F403" s="10"/>
      <c r="G403" s="11"/>
      <c r="H403" s="11"/>
    </row>
    <row r="404" customFormat="false" ht="35.05" hidden="false" customHeight="false" outlineLevel="0" collapsed="false">
      <c r="A404" s="10" t="s">
        <v>31</v>
      </c>
      <c r="B404" s="10" t="s">
        <v>1579</v>
      </c>
      <c r="C404" s="10" t="s">
        <v>1580</v>
      </c>
      <c r="D404" s="10" t="s">
        <v>1581</v>
      </c>
      <c r="E404" s="10" t="s">
        <v>1582</v>
      </c>
      <c r="F404" s="10"/>
      <c r="G404" s="11"/>
      <c r="H404" s="11"/>
    </row>
    <row r="405" customFormat="false" ht="35.05" hidden="false" customHeight="false" outlineLevel="0" collapsed="false">
      <c r="A405" s="10" t="s">
        <v>31</v>
      </c>
      <c r="B405" s="10" t="s">
        <v>1583</v>
      </c>
      <c r="C405" s="10" t="s">
        <v>1584</v>
      </c>
      <c r="D405" s="10" t="s">
        <v>1585</v>
      </c>
      <c r="E405" s="10" t="s">
        <v>1586</v>
      </c>
      <c r="F405" s="10"/>
      <c r="G405" s="11"/>
      <c r="H405" s="11"/>
    </row>
    <row r="406" customFormat="false" ht="35.05" hidden="false" customHeight="false" outlineLevel="0" collapsed="false">
      <c r="A406" s="10" t="s">
        <v>31</v>
      </c>
      <c r="B406" s="10" t="s">
        <v>1587</v>
      </c>
      <c r="C406" s="10" t="s">
        <v>1588</v>
      </c>
      <c r="D406" s="10" t="s">
        <v>1589</v>
      </c>
      <c r="E406" s="10" t="s">
        <v>1590</v>
      </c>
      <c r="F406" s="10"/>
      <c r="G406" s="11"/>
      <c r="H406" s="11"/>
    </row>
    <row r="407" customFormat="false" ht="35.05" hidden="false" customHeight="false" outlineLevel="0" collapsed="false">
      <c r="A407" s="10" t="s">
        <v>31</v>
      </c>
      <c r="B407" s="10" t="s">
        <v>1591</v>
      </c>
      <c r="C407" s="10" t="s">
        <v>1592</v>
      </c>
      <c r="D407" s="10" t="s">
        <v>1593</v>
      </c>
      <c r="E407" s="10" t="s">
        <v>1594</v>
      </c>
      <c r="F407" s="10"/>
      <c r="G407" s="11"/>
      <c r="H407" s="11"/>
    </row>
    <row r="408" customFormat="false" ht="35.05" hidden="false" customHeight="false" outlineLevel="0" collapsed="false">
      <c r="A408" s="10" t="s">
        <v>31</v>
      </c>
      <c r="B408" s="10" t="s">
        <v>1595</v>
      </c>
      <c r="C408" s="10" t="s">
        <v>1596</v>
      </c>
      <c r="D408" s="10" t="s">
        <v>1597</v>
      </c>
      <c r="E408" s="10" t="s">
        <v>1598</v>
      </c>
      <c r="F408" s="10"/>
      <c r="G408" s="11"/>
      <c r="H408" s="11"/>
    </row>
    <row r="409" customFormat="false" ht="35.05" hidden="false" customHeight="false" outlineLevel="0" collapsed="false">
      <c r="A409" s="10" t="s">
        <v>31</v>
      </c>
      <c r="B409" s="10" t="s">
        <v>1599</v>
      </c>
      <c r="C409" s="10" t="s">
        <v>1600</v>
      </c>
      <c r="D409" s="10" t="s">
        <v>1601</v>
      </c>
      <c r="E409" s="10" t="s">
        <v>1602</v>
      </c>
      <c r="F409" s="10"/>
      <c r="G409" s="11"/>
      <c r="H409" s="11"/>
    </row>
    <row r="410" customFormat="false" ht="35.05" hidden="false" customHeight="false" outlineLevel="0" collapsed="false">
      <c r="A410" s="10" t="s">
        <v>31</v>
      </c>
      <c r="B410" s="10" t="s">
        <v>1603</v>
      </c>
      <c r="C410" s="10" t="s">
        <v>1604</v>
      </c>
      <c r="D410" s="10" t="s">
        <v>1605</v>
      </c>
      <c r="E410" s="10" t="s">
        <v>1606</v>
      </c>
      <c r="F410" s="10"/>
      <c r="G410" s="11"/>
      <c r="H410" s="11"/>
    </row>
    <row r="411" customFormat="false" ht="35.05" hidden="false" customHeight="false" outlineLevel="0" collapsed="false">
      <c r="A411" s="10" t="s">
        <v>31</v>
      </c>
      <c r="B411" s="10" t="s">
        <v>1607</v>
      </c>
      <c r="C411" s="10" t="s">
        <v>1608</v>
      </c>
      <c r="D411" s="10" t="s">
        <v>1609</v>
      </c>
      <c r="E411" s="10" t="s">
        <v>1610</v>
      </c>
      <c r="F411" s="10"/>
      <c r="G411" s="11"/>
      <c r="H411" s="11"/>
    </row>
    <row r="412" customFormat="false" ht="35.05" hidden="false" customHeight="false" outlineLevel="0" collapsed="false">
      <c r="A412" s="10" t="s">
        <v>31</v>
      </c>
      <c r="B412" s="10" t="s">
        <v>1611</v>
      </c>
      <c r="C412" s="10" t="s">
        <v>1612</v>
      </c>
      <c r="D412" s="10" t="s">
        <v>1613</v>
      </c>
      <c r="E412" s="10" t="s">
        <v>1614</v>
      </c>
      <c r="F412" s="10"/>
      <c r="G412" s="11"/>
      <c r="H412" s="11"/>
    </row>
    <row r="413" customFormat="false" ht="35.05" hidden="false" customHeight="false" outlineLevel="0" collapsed="false">
      <c r="A413" s="10" t="s">
        <v>31</v>
      </c>
      <c r="B413" s="10" t="s">
        <v>1615</v>
      </c>
      <c r="C413" s="10" t="s">
        <v>1616</v>
      </c>
      <c r="D413" s="10" t="s">
        <v>1617</v>
      </c>
      <c r="E413" s="10" t="s">
        <v>1618</v>
      </c>
      <c r="F413" s="10"/>
      <c r="G413" s="11"/>
      <c r="H413" s="11"/>
    </row>
    <row r="414" customFormat="false" ht="23.85" hidden="false" customHeight="false" outlineLevel="0" collapsed="false">
      <c r="A414" s="10" t="s">
        <v>31</v>
      </c>
      <c r="B414" s="10" t="s">
        <v>1619</v>
      </c>
      <c r="C414" s="10" t="s">
        <v>1620</v>
      </c>
      <c r="D414" s="10" t="s">
        <v>1621</v>
      </c>
      <c r="E414" s="10" t="s">
        <v>1622</v>
      </c>
      <c r="F414" s="10"/>
      <c r="G414" s="11"/>
      <c r="H414" s="11"/>
    </row>
    <row r="415" customFormat="false" ht="35.05" hidden="false" customHeight="false" outlineLevel="0" collapsed="false">
      <c r="A415" s="10" t="s">
        <v>31</v>
      </c>
      <c r="B415" s="10" t="s">
        <v>1623</v>
      </c>
      <c r="C415" s="10" t="s">
        <v>1624</v>
      </c>
      <c r="D415" s="10" t="s">
        <v>1625</v>
      </c>
      <c r="E415" s="10" t="s">
        <v>1626</v>
      </c>
      <c r="F415" s="10"/>
      <c r="G415" s="11"/>
      <c r="H415" s="11"/>
    </row>
    <row r="416" customFormat="false" ht="35.05" hidden="false" customHeight="false" outlineLevel="0" collapsed="false">
      <c r="A416" s="10" t="s">
        <v>31</v>
      </c>
      <c r="B416" s="10" t="s">
        <v>1627</v>
      </c>
      <c r="C416" s="10" t="s">
        <v>1628</v>
      </c>
      <c r="D416" s="10" t="s">
        <v>1629</v>
      </c>
      <c r="E416" s="10" t="s">
        <v>1630</v>
      </c>
      <c r="F416" s="10"/>
      <c r="G416" s="11"/>
      <c r="H416" s="11"/>
    </row>
    <row r="417" customFormat="false" ht="23.85" hidden="false" customHeight="false" outlineLevel="0" collapsed="false">
      <c r="A417" s="10" t="s">
        <v>31</v>
      </c>
      <c r="B417" s="10" t="s">
        <v>1631</v>
      </c>
      <c r="C417" s="10" t="s">
        <v>1632</v>
      </c>
      <c r="D417" s="10" t="s">
        <v>1633</v>
      </c>
      <c r="E417" s="10" t="s">
        <v>1634</v>
      </c>
      <c r="F417" s="10"/>
      <c r="G417" s="11"/>
      <c r="H417" s="11"/>
    </row>
    <row r="418" customFormat="false" ht="35.05" hidden="false" customHeight="false" outlineLevel="0" collapsed="false">
      <c r="A418" s="10" t="s">
        <v>31</v>
      </c>
      <c r="B418" s="10" t="s">
        <v>1635</v>
      </c>
      <c r="C418" s="10" t="s">
        <v>1636</v>
      </c>
      <c r="D418" s="10" t="s">
        <v>1637</v>
      </c>
      <c r="E418" s="10" t="s">
        <v>1638</v>
      </c>
      <c r="F418" s="10"/>
      <c r="G418" s="11"/>
      <c r="H418" s="11"/>
    </row>
    <row r="419" customFormat="false" ht="23.85" hidden="false" customHeight="false" outlineLevel="0" collapsed="false">
      <c r="A419" s="10" t="s">
        <v>31</v>
      </c>
      <c r="B419" s="10" t="s">
        <v>1639</v>
      </c>
      <c r="C419" s="10" t="s">
        <v>1640</v>
      </c>
      <c r="D419" s="10" t="s">
        <v>1641</v>
      </c>
      <c r="E419" s="10" t="s">
        <v>1642</v>
      </c>
      <c r="F419" s="10"/>
      <c r="G419" s="11"/>
      <c r="H419" s="11"/>
    </row>
    <row r="420" customFormat="false" ht="68.65" hidden="false" customHeight="false" outlineLevel="0" collapsed="false">
      <c r="A420" s="10" t="s">
        <v>32</v>
      </c>
      <c r="B420" s="10" t="s">
        <v>1643</v>
      </c>
      <c r="C420" s="10" t="s">
        <v>1644</v>
      </c>
      <c r="D420" s="10" t="s">
        <v>1645</v>
      </c>
      <c r="E420" s="10" t="s">
        <v>1646</v>
      </c>
      <c r="F420" s="10"/>
      <c r="G420" s="11"/>
      <c r="H420" s="11"/>
    </row>
    <row r="421" customFormat="false" ht="57.45" hidden="false" customHeight="false" outlineLevel="0" collapsed="false">
      <c r="A421" s="10" t="s">
        <v>32</v>
      </c>
      <c r="B421" s="10" t="s">
        <v>1647</v>
      </c>
      <c r="C421" s="10" t="s">
        <v>1644</v>
      </c>
      <c r="D421" s="10" t="s">
        <v>1648</v>
      </c>
      <c r="E421" s="10" t="s">
        <v>1649</v>
      </c>
      <c r="F421" s="10"/>
      <c r="G421" s="11"/>
      <c r="H421" s="11"/>
    </row>
    <row r="422" customFormat="false" ht="46.25" hidden="false" customHeight="false" outlineLevel="0" collapsed="false">
      <c r="A422" s="10" t="s">
        <v>32</v>
      </c>
      <c r="B422" s="10" t="s">
        <v>1650</v>
      </c>
      <c r="C422" s="10" t="s">
        <v>1651</v>
      </c>
      <c r="D422" s="10" t="s">
        <v>1652</v>
      </c>
      <c r="E422" s="10" t="s">
        <v>1653</v>
      </c>
      <c r="F422" s="10"/>
      <c r="G422" s="11"/>
      <c r="H422" s="11"/>
    </row>
    <row r="423" customFormat="false" ht="35.05" hidden="false" customHeight="false" outlineLevel="0" collapsed="false">
      <c r="A423" s="10" t="s">
        <v>32</v>
      </c>
      <c r="B423" s="10" t="s">
        <v>1654</v>
      </c>
      <c r="C423" s="10" t="s">
        <v>1651</v>
      </c>
      <c r="D423" s="10" t="s">
        <v>1655</v>
      </c>
      <c r="E423" s="10" t="s">
        <v>1656</v>
      </c>
      <c r="F423" s="10"/>
      <c r="G423" s="11"/>
      <c r="H423" s="11"/>
    </row>
    <row r="424" customFormat="false" ht="68.65" hidden="false" customHeight="false" outlineLevel="0" collapsed="false">
      <c r="A424" s="10" t="s">
        <v>32</v>
      </c>
      <c r="B424" s="10" t="s">
        <v>1657</v>
      </c>
      <c r="C424" s="10" t="s">
        <v>1658</v>
      </c>
      <c r="D424" s="10" t="s">
        <v>1659</v>
      </c>
      <c r="E424" s="10" t="s">
        <v>1660</v>
      </c>
      <c r="F424" s="10"/>
      <c r="G424" s="11"/>
      <c r="H424" s="11"/>
    </row>
    <row r="425" customFormat="false" ht="46.25" hidden="false" customHeight="false" outlineLevel="0" collapsed="false">
      <c r="A425" s="10" t="s">
        <v>32</v>
      </c>
      <c r="B425" s="10" t="s">
        <v>1661</v>
      </c>
      <c r="C425" s="10" t="s">
        <v>1658</v>
      </c>
      <c r="D425" s="10" t="s">
        <v>1662</v>
      </c>
      <c r="E425" s="10" t="s">
        <v>1663</v>
      </c>
      <c r="F425" s="10"/>
      <c r="G425" s="11"/>
      <c r="H425" s="11"/>
    </row>
    <row r="426" customFormat="false" ht="57.45" hidden="false" customHeight="false" outlineLevel="0" collapsed="false">
      <c r="A426" s="10" t="s">
        <v>32</v>
      </c>
      <c r="B426" s="10" t="s">
        <v>1664</v>
      </c>
      <c r="C426" s="10" t="s">
        <v>1658</v>
      </c>
      <c r="D426" s="10" t="s">
        <v>1665</v>
      </c>
      <c r="E426" s="10" t="s">
        <v>1666</v>
      </c>
      <c r="F426" s="10"/>
      <c r="G426" s="11"/>
      <c r="H426" s="11"/>
    </row>
    <row r="427" customFormat="false" ht="68.65" hidden="false" customHeight="false" outlineLevel="0" collapsed="false">
      <c r="A427" s="10" t="s">
        <v>32</v>
      </c>
      <c r="B427" s="10" t="s">
        <v>1667</v>
      </c>
      <c r="C427" s="10" t="s">
        <v>1668</v>
      </c>
      <c r="D427" s="10" t="s">
        <v>1669</v>
      </c>
      <c r="E427" s="10" t="s">
        <v>1670</v>
      </c>
      <c r="F427" s="10"/>
      <c r="G427" s="11"/>
      <c r="H427" s="11"/>
    </row>
    <row r="428" customFormat="false" ht="57.45" hidden="false" customHeight="false" outlineLevel="0" collapsed="false">
      <c r="A428" s="10" t="s">
        <v>32</v>
      </c>
      <c r="B428" s="10" t="s">
        <v>1671</v>
      </c>
      <c r="C428" s="10" t="s">
        <v>1668</v>
      </c>
      <c r="D428" s="10" t="s">
        <v>1672</v>
      </c>
      <c r="E428" s="10" t="s">
        <v>1673</v>
      </c>
      <c r="F428" s="10"/>
      <c r="G428" s="11"/>
      <c r="H428" s="11"/>
    </row>
    <row r="429" customFormat="false" ht="57.45" hidden="false" customHeight="false" outlineLevel="0" collapsed="false">
      <c r="A429" s="10" t="s">
        <v>32</v>
      </c>
      <c r="B429" s="10" t="s">
        <v>1674</v>
      </c>
      <c r="C429" s="10" t="s">
        <v>1675</v>
      </c>
      <c r="D429" s="10" t="s">
        <v>1676</v>
      </c>
      <c r="E429" s="10" t="s">
        <v>1677</v>
      </c>
      <c r="F429" s="10"/>
      <c r="G429" s="11"/>
      <c r="H429" s="11"/>
    </row>
    <row r="430" customFormat="false" ht="57.45" hidden="false" customHeight="false" outlineLevel="0" collapsed="false">
      <c r="A430" s="10" t="s">
        <v>32</v>
      </c>
      <c r="B430" s="10" t="s">
        <v>1678</v>
      </c>
      <c r="C430" s="10" t="s">
        <v>1675</v>
      </c>
      <c r="D430" s="10" t="s">
        <v>1679</v>
      </c>
      <c r="E430" s="10" t="s">
        <v>1680</v>
      </c>
      <c r="F430" s="10"/>
      <c r="G430" s="11"/>
      <c r="H430" s="11"/>
    </row>
    <row r="431" customFormat="false" ht="57.45" hidden="false" customHeight="false" outlineLevel="0" collapsed="false">
      <c r="A431" s="10" t="s">
        <v>32</v>
      </c>
      <c r="B431" s="10" t="s">
        <v>1681</v>
      </c>
      <c r="C431" s="10" t="s">
        <v>1682</v>
      </c>
      <c r="D431" s="10" t="s">
        <v>1683</v>
      </c>
      <c r="E431" s="10" t="s">
        <v>1684</v>
      </c>
      <c r="F431" s="10"/>
      <c r="G431" s="11"/>
      <c r="H431" s="11"/>
    </row>
    <row r="432" customFormat="false" ht="57.45" hidden="false" customHeight="false" outlineLevel="0" collapsed="false">
      <c r="A432" s="10" t="s">
        <v>32</v>
      </c>
      <c r="B432" s="10" t="s">
        <v>1685</v>
      </c>
      <c r="C432" s="10" t="s">
        <v>1682</v>
      </c>
      <c r="D432" s="10" t="s">
        <v>1686</v>
      </c>
      <c r="E432" s="10" t="s">
        <v>1687</v>
      </c>
      <c r="F432" s="10"/>
      <c r="G432" s="11"/>
      <c r="H432" s="11"/>
    </row>
    <row r="433" customFormat="false" ht="57.45" hidden="false" customHeight="false" outlineLevel="0" collapsed="false">
      <c r="A433" s="10" t="s">
        <v>32</v>
      </c>
      <c r="B433" s="10" t="s">
        <v>1688</v>
      </c>
      <c r="C433" s="10" t="s">
        <v>1689</v>
      </c>
      <c r="D433" s="10" t="s">
        <v>1690</v>
      </c>
      <c r="E433" s="10" t="s">
        <v>1691</v>
      </c>
      <c r="F433" s="10"/>
      <c r="G433" s="11"/>
      <c r="H433" s="11"/>
    </row>
    <row r="434" customFormat="false" ht="46.25" hidden="false" customHeight="false" outlineLevel="0" collapsed="false">
      <c r="A434" s="10" t="s">
        <v>32</v>
      </c>
      <c r="B434" s="10" t="s">
        <v>1692</v>
      </c>
      <c r="C434" s="10" t="s">
        <v>1689</v>
      </c>
      <c r="D434" s="10" t="s">
        <v>1693</v>
      </c>
      <c r="E434" s="10" t="s">
        <v>1694</v>
      </c>
      <c r="F434" s="10"/>
      <c r="G434" s="11"/>
      <c r="H434" s="11"/>
    </row>
    <row r="435" customFormat="false" ht="57.45" hidden="false" customHeight="false" outlineLevel="0" collapsed="false">
      <c r="A435" s="10" t="s">
        <v>32</v>
      </c>
      <c r="B435" s="10" t="s">
        <v>1695</v>
      </c>
      <c r="C435" s="10" t="s">
        <v>1696</v>
      </c>
      <c r="D435" s="10" t="s">
        <v>1697</v>
      </c>
      <c r="E435" s="10" t="s">
        <v>1698</v>
      </c>
      <c r="F435" s="10"/>
      <c r="G435" s="11"/>
      <c r="H435" s="11"/>
    </row>
    <row r="436" customFormat="false" ht="57.45" hidden="false" customHeight="false" outlineLevel="0" collapsed="false">
      <c r="A436" s="10" t="s">
        <v>32</v>
      </c>
      <c r="B436" s="10" t="s">
        <v>1699</v>
      </c>
      <c r="C436" s="10" t="s">
        <v>1696</v>
      </c>
      <c r="D436" s="10" t="s">
        <v>1700</v>
      </c>
      <c r="E436" s="10" t="s">
        <v>1701</v>
      </c>
      <c r="F436" s="10"/>
      <c r="G436" s="11"/>
      <c r="H436" s="11"/>
    </row>
    <row r="437" customFormat="false" ht="46.25" hidden="false" customHeight="false" outlineLevel="0" collapsed="false">
      <c r="A437" s="10" t="s">
        <v>32</v>
      </c>
      <c r="B437" s="10" t="s">
        <v>1702</v>
      </c>
      <c r="C437" s="10" t="s">
        <v>1703</v>
      </c>
      <c r="D437" s="10" t="s">
        <v>1697</v>
      </c>
      <c r="E437" s="10" t="s">
        <v>1704</v>
      </c>
      <c r="F437" s="10"/>
      <c r="G437" s="11"/>
      <c r="H437" s="11"/>
    </row>
    <row r="438" customFormat="false" ht="57.45" hidden="false" customHeight="false" outlineLevel="0" collapsed="false">
      <c r="A438" s="10" t="s">
        <v>32</v>
      </c>
      <c r="B438" s="10" t="s">
        <v>1705</v>
      </c>
      <c r="C438" s="10" t="s">
        <v>1703</v>
      </c>
      <c r="D438" s="10" t="s">
        <v>1706</v>
      </c>
      <c r="E438" s="10" t="s">
        <v>1707</v>
      </c>
      <c r="F438" s="10"/>
      <c r="G438" s="11"/>
      <c r="H438" s="11"/>
    </row>
    <row r="439" customFormat="false" ht="46.25" hidden="false" customHeight="false" outlineLevel="0" collapsed="false">
      <c r="A439" s="10" t="s">
        <v>32</v>
      </c>
      <c r="B439" s="10" t="s">
        <v>1708</v>
      </c>
      <c r="C439" s="10" t="s">
        <v>1709</v>
      </c>
      <c r="D439" s="10" t="s">
        <v>1710</v>
      </c>
      <c r="E439" s="10" t="s">
        <v>1711</v>
      </c>
      <c r="F439" s="10"/>
      <c r="G439" s="11"/>
      <c r="H439" s="11"/>
    </row>
    <row r="440" customFormat="false" ht="46.25" hidden="false" customHeight="false" outlineLevel="0" collapsed="false">
      <c r="A440" s="10" t="s">
        <v>32</v>
      </c>
      <c r="B440" s="10" t="s">
        <v>1712</v>
      </c>
      <c r="C440" s="10" t="s">
        <v>1709</v>
      </c>
      <c r="D440" s="10" t="s">
        <v>1713</v>
      </c>
      <c r="E440" s="10" t="s">
        <v>1714</v>
      </c>
      <c r="F440" s="10"/>
      <c r="G440" s="11"/>
      <c r="H440" s="11"/>
    </row>
    <row r="441" customFormat="false" ht="46.25" hidden="false" customHeight="false" outlineLevel="0" collapsed="false">
      <c r="A441" s="10" t="s">
        <v>32</v>
      </c>
      <c r="B441" s="10" t="s">
        <v>1715</v>
      </c>
      <c r="C441" s="10" t="s">
        <v>1716</v>
      </c>
      <c r="D441" s="10" t="s">
        <v>1717</v>
      </c>
      <c r="E441" s="10" t="s">
        <v>1718</v>
      </c>
      <c r="F441" s="10"/>
      <c r="G441" s="11"/>
      <c r="H441" s="11"/>
    </row>
    <row r="442" customFormat="false" ht="57.45" hidden="false" customHeight="false" outlineLevel="0" collapsed="false">
      <c r="A442" s="10" t="s">
        <v>32</v>
      </c>
      <c r="B442" s="10" t="s">
        <v>1719</v>
      </c>
      <c r="C442" s="10" t="s">
        <v>1716</v>
      </c>
      <c r="D442" s="10" t="s">
        <v>1720</v>
      </c>
      <c r="E442" s="10" t="s">
        <v>1721</v>
      </c>
      <c r="F442" s="10"/>
      <c r="G442" s="11"/>
      <c r="H442" s="11"/>
    </row>
    <row r="443" customFormat="false" ht="57.45" hidden="false" customHeight="false" outlineLevel="0" collapsed="false">
      <c r="A443" s="10" t="s">
        <v>32</v>
      </c>
      <c r="B443" s="10" t="s">
        <v>1722</v>
      </c>
      <c r="C443" s="10" t="s">
        <v>1723</v>
      </c>
      <c r="D443" s="10" t="s">
        <v>1724</v>
      </c>
      <c r="E443" s="10" t="s">
        <v>1725</v>
      </c>
      <c r="F443" s="10"/>
      <c r="G443" s="11"/>
      <c r="H443" s="11"/>
    </row>
    <row r="444" customFormat="false" ht="57.45" hidden="false" customHeight="false" outlineLevel="0" collapsed="false">
      <c r="A444" s="10" t="s">
        <v>32</v>
      </c>
      <c r="B444" s="10" t="s">
        <v>1726</v>
      </c>
      <c r="C444" s="10" t="s">
        <v>1723</v>
      </c>
      <c r="D444" s="10" t="s">
        <v>1727</v>
      </c>
      <c r="E444" s="10" t="s">
        <v>1728</v>
      </c>
      <c r="F444" s="10"/>
      <c r="G444" s="11"/>
      <c r="H444" s="11"/>
    </row>
    <row r="445" customFormat="false" ht="68.65" hidden="false" customHeight="false" outlineLevel="0" collapsed="false">
      <c r="A445" s="10" t="s">
        <v>32</v>
      </c>
      <c r="B445" s="10" t="s">
        <v>1729</v>
      </c>
      <c r="C445" s="10" t="s">
        <v>1730</v>
      </c>
      <c r="D445" s="10" t="s">
        <v>1731</v>
      </c>
      <c r="E445" s="10" t="s">
        <v>1732</v>
      </c>
      <c r="F445" s="10"/>
      <c r="G445" s="11"/>
      <c r="H445" s="11"/>
    </row>
    <row r="446" customFormat="false" ht="46.25" hidden="false" customHeight="false" outlineLevel="0" collapsed="false">
      <c r="A446" s="10" t="s">
        <v>32</v>
      </c>
      <c r="B446" s="10" t="s">
        <v>1733</v>
      </c>
      <c r="C446" s="10" t="s">
        <v>1730</v>
      </c>
      <c r="D446" s="10" t="s">
        <v>1734</v>
      </c>
      <c r="E446" s="10" t="s">
        <v>1735</v>
      </c>
      <c r="F446" s="10"/>
      <c r="G446" s="11"/>
      <c r="H446" s="11"/>
    </row>
    <row r="447" customFormat="false" ht="79.85" hidden="false" customHeight="false" outlineLevel="0" collapsed="false">
      <c r="A447" s="10" t="s">
        <v>32</v>
      </c>
      <c r="B447" s="10" t="s">
        <v>1736</v>
      </c>
      <c r="C447" s="10" t="s">
        <v>1737</v>
      </c>
      <c r="D447" s="10" t="s">
        <v>1738</v>
      </c>
      <c r="E447" s="10" t="s">
        <v>1739</v>
      </c>
      <c r="F447" s="10"/>
      <c r="G447" s="11"/>
      <c r="H447" s="11"/>
    </row>
    <row r="448" customFormat="false" ht="46.25" hidden="false" customHeight="false" outlineLevel="0" collapsed="false">
      <c r="A448" s="10" t="s">
        <v>32</v>
      </c>
      <c r="B448" s="10" t="s">
        <v>1740</v>
      </c>
      <c r="C448" s="10" t="s">
        <v>1737</v>
      </c>
      <c r="D448" s="10" t="s">
        <v>1741</v>
      </c>
      <c r="E448" s="10" t="s">
        <v>1742</v>
      </c>
      <c r="F448" s="10"/>
      <c r="G448" s="11"/>
      <c r="H448" s="11"/>
    </row>
    <row r="449" customFormat="false" ht="57.45" hidden="false" customHeight="false" outlineLevel="0" collapsed="false">
      <c r="A449" s="10" t="s">
        <v>32</v>
      </c>
      <c r="B449" s="10" t="s">
        <v>1743</v>
      </c>
      <c r="C449" s="10" t="s">
        <v>1744</v>
      </c>
      <c r="D449" s="10" t="s">
        <v>1745</v>
      </c>
      <c r="E449" s="10" t="s">
        <v>1746</v>
      </c>
      <c r="F449" s="10"/>
      <c r="G449" s="11"/>
      <c r="H449" s="11"/>
    </row>
    <row r="450" customFormat="false" ht="35.05" hidden="false" customHeight="false" outlineLevel="0" collapsed="false">
      <c r="A450" s="10" t="s">
        <v>32</v>
      </c>
      <c r="B450" s="10" t="s">
        <v>1747</v>
      </c>
      <c r="C450" s="10" t="s">
        <v>1744</v>
      </c>
      <c r="D450" s="10" t="s">
        <v>1748</v>
      </c>
      <c r="E450" s="10" t="s">
        <v>1749</v>
      </c>
      <c r="F450" s="10"/>
      <c r="G450" s="11"/>
      <c r="H450" s="11"/>
    </row>
    <row r="451" customFormat="false" ht="46.25" hidden="false" customHeight="false" outlineLevel="0" collapsed="false">
      <c r="A451" s="10" t="s">
        <v>32</v>
      </c>
      <c r="B451" s="10" t="s">
        <v>1750</v>
      </c>
      <c r="C451" s="10" t="s">
        <v>1751</v>
      </c>
      <c r="D451" s="10" t="s">
        <v>1752</v>
      </c>
      <c r="E451" s="10" t="s">
        <v>1753</v>
      </c>
      <c r="F451" s="10"/>
      <c r="G451" s="11"/>
      <c r="H451" s="11"/>
    </row>
    <row r="452" customFormat="false" ht="46.25" hidden="false" customHeight="false" outlineLevel="0" collapsed="false">
      <c r="A452" s="10" t="s">
        <v>32</v>
      </c>
      <c r="B452" s="10" t="s">
        <v>1754</v>
      </c>
      <c r="C452" s="10" t="s">
        <v>1751</v>
      </c>
      <c r="D452" s="10" t="s">
        <v>1755</v>
      </c>
      <c r="E452" s="10" t="s">
        <v>1756</v>
      </c>
      <c r="F452" s="10"/>
      <c r="G452" s="11"/>
      <c r="H452" s="11"/>
    </row>
    <row r="453" customFormat="false" ht="57.45" hidden="false" customHeight="false" outlineLevel="0" collapsed="false">
      <c r="A453" s="10" t="s">
        <v>32</v>
      </c>
      <c r="B453" s="10" t="s">
        <v>1757</v>
      </c>
      <c r="C453" s="10" t="s">
        <v>1758</v>
      </c>
      <c r="D453" s="10" t="s">
        <v>1759</v>
      </c>
      <c r="E453" s="10" t="s">
        <v>1760</v>
      </c>
      <c r="F453" s="10"/>
      <c r="G453" s="11"/>
      <c r="H453" s="11"/>
    </row>
    <row r="454" customFormat="false" ht="46.25" hidden="false" customHeight="false" outlineLevel="0" collapsed="false">
      <c r="A454" s="10" t="s">
        <v>32</v>
      </c>
      <c r="B454" s="10" t="s">
        <v>1761</v>
      </c>
      <c r="C454" s="10" t="s">
        <v>1758</v>
      </c>
      <c r="D454" s="10" t="s">
        <v>1762</v>
      </c>
      <c r="E454" s="10" t="s">
        <v>1763</v>
      </c>
      <c r="F454" s="10"/>
      <c r="G454" s="11"/>
      <c r="H454" s="11"/>
    </row>
    <row r="455" customFormat="false" ht="68.65" hidden="false" customHeight="false" outlineLevel="0" collapsed="false">
      <c r="A455" s="10" t="s">
        <v>32</v>
      </c>
      <c r="B455" s="10" t="s">
        <v>1764</v>
      </c>
      <c r="C455" s="10" t="s">
        <v>1765</v>
      </c>
      <c r="D455" s="10" t="s">
        <v>1766</v>
      </c>
      <c r="E455" s="10" t="s">
        <v>1767</v>
      </c>
      <c r="F455" s="10"/>
      <c r="G455" s="11"/>
      <c r="H455" s="11"/>
    </row>
    <row r="456" customFormat="false" ht="35.05" hidden="false" customHeight="false" outlineLevel="0" collapsed="false">
      <c r="A456" s="10" t="s">
        <v>32</v>
      </c>
      <c r="B456" s="10" t="s">
        <v>1768</v>
      </c>
      <c r="C456" s="10" t="s">
        <v>1765</v>
      </c>
      <c r="D456" s="10" t="s">
        <v>1769</v>
      </c>
      <c r="E456" s="10" t="s">
        <v>1770</v>
      </c>
      <c r="F456" s="10"/>
      <c r="G456" s="11"/>
      <c r="H456" s="11"/>
    </row>
    <row r="457" customFormat="false" ht="68.65" hidden="false" customHeight="false" outlineLevel="0" collapsed="false">
      <c r="A457" s="10" t="s">
        <v>32</v>
      </c>
      <c r="B457" s="10" t="s">
        <v>1771</v>
      </c>
      <c r="C457" s="10" t="s">
        <v>1772</v>
      </c>
      <c r="D457" s="10" t="s">
        <v>1773</v>
      </c>
      <c r="E457" s="10" t="s">
        <v>1774</v>
      </c>
      <c r="F457" s="10"/>
      <c r="G457" s="11"/>
      <c r="H457" s="11"/>
    </row>
    <row r="458" customFormat="false" ht="57.45" hidden="false" customHeight="false" outlineLevel="0" collapsed="false">
      <c r="A458" s="10" t="s">
        <v>32</v>
      </c>
      <c r="B458" s="10" t="s">
        <v>1775</v>
      </c>
      <c r="C458" s="10" t="s">
        <v>1772</v>
      </c>
      <c r="D458" s="10" t="s">
        <v>1776</v>
      </c>
      <c r="E458" s="10" t="s">
        <v>1777</v>
      </c>
      <c r="F458" s="10"/>
      <c r="G458" s="11"/>
      <c r="H458" s="11"/>
    </row>
    <row r="459" customFormat="false" ht="79.85" hidden="false" customHeight="false" outlineLevel="0" collapsed="false">
      <c r="A459" s="10" t="s">
        <v>32</v>
      </c>
      <c r="B459" s="10" t="s">
        <v>1778</v>
      </c>
      <c r="C459" s="10" t="s">
        <v>1779</v>
      </c>
      <c r="D459" s="10" t="s">
        <v>1780</v>
      </c>
      <c r="E459" s="10" t="s">
        <v>1781</v>
      </c>
      <c r="F459" s="10"/>
      <c r="G459" s="11"/>
      <c r="H459" s="11"/>
    </row>
    <row r="460" customFormat="false" ht="35.05" hidden="false" customHeight="false" outlineLevel="0" collapsed="false">
      <c r="A460" s="10" t="s">
        <v>32</v>
      </c>
      <c r="B460" s="10" t="s">
        <v>1782</v>
      </c>
      <c r="C460" s="10" t="s">
        <v>1779</v>
      </c>
      <c r="D460" s="10" t="s">
        <v>1783</v>
      </c>
      <c r="E460" s="10" t="s">
        <v>1784</v>
      </c>
      <c r="F460" s="10"/>
      <c r="G460" s="11"/>
      <c r="H460" s="11"/>
    </row>
    <row r="461" customFormat="false" ht="68.65" hidden="false" customHeight="false" outlineLevel="0" collapsed="false">
      <c r="A461" s="10" t="s">
        <v>32</v>
      </c>
      <c r="B461" s="10" t="s">
        <v>1785</v>
      </c>
      <c r="C461" s="10" t="s">
        <v>1786</v>
      </c>
      <c r="D461" s="10" t="s">
        <v>1787</v>
      </c>
      <c r="E461" s="10" t="s">
        <v>1788</v>
      </c>
      <c r="F461" s="10"/>
      <c r="G461" s="11"/>
      <c r="H461" s="11"/>
    </row>
    <row r="462" customFormat="false" ht="46.25" hidden="false" customHeight="false" outlineLevel="0" collapsed="false">
      <c r="A462" s="10" t="s">
        <v>32</v>
      </c>
      <c r="B462" s="10" t="s">
        <v>1789</v>
      </c>
      <c r="C462" s="10" t="s">
        <v>1786</v>
      </c>
      <c r="D462" s="10" t="s">
        <v>1790</v>
      </c>
      <c r="E462" s="10" t="s">
        <v>1791</v>
      </c>
      <c r="F462" s="10"/>
      <c r="G462" s="11"/>
      <c r="H462" s="11"/>
    </row>
    <row r="463" customFormat="false" ht="57.45" hidden="false" customHeight="false" outlineLevel="0" collapsed="false">
      <c r="A463" s="10" t="s">
        <v>32</v>
      </c>
      <c r="B463" s="10" t="s">
        <v>1792</v>
      </c>
      <c r="C463" s="10" t="s">
        <v>1793</v>
      </c>
      <c r="D463" s="10" t="s">
        <v>1794</v>
      </c>
      <c r="E463" s="10" t="s">
        <v>1795</v>
      </c>
      <c r="F463" s="10"/>
      <c r="G463" s="11"/>
      <c r="H463" s="11"/>
    </row>
    <row r="464" customFormat="false" ht="35.05" hidden="false" customHeight="false" outlineLevel="0" collapsed="false">
      <c r="A464" s="10" t="s">
        <v>32</v>
      </c>
      <c r="B464" s="10" t="s">
        <v>1796</v>
      </c>
      <c r="C464" s="10" t="s">
        <v>1793</v>
      </c>
      <c r="D464" s="10" t="s">
        <v>1797</v>
      </c>
      <c r="E464" s="10" t="s">
        <v>1798</v>
      </c>
      <c r="F464" s="10"/>
      <c r="G464" s="11"/>
      <c r="H464" s="11"/>
    </row>
    <row r="465" customFormat="false" ht="46.25" hidden="false" customHeight="false" outlineLevel="0" collapsed="false">
      <c r="A465" s="10" t="s">
        <v>32</v>
      </c>
      <c r="B465" s="10" t="s">
        <v>1799</v>
      </c>
      <c r="C465" s="10" t="s">
        <v>1800</v>
      </c>
      <c r="D465" s="10" t="s">
        <v>1773</v>
      </c>
      <c r="E465" s="10" t="s">
        <v>1801</v>
      </c>
      <c r="F465" s="10"/>
      <c r="G465" s="11"/>
      <c r="H465" s="11"/>
    </row>
    <row r="466" customFormat="false" ht="35.05" hidden="false" customHeight="false" outlineLevel="0" collapsed="false">
      <c r="A466" s="10" t="s">
        <v>32</v>
      </c>
      <c r="B466" s="10" t="s">
        <v>1802</v>
      </c>
      <c r="C466" s="10" t="s">
        <v>1800</v>
      </c>
      <c r="D466" s="10" t="s">
        <v>1803</v>
      </c>
      <c r="E466" s="10" t="s">
        <v>1804</v>
      </c>
      <c r="F466" s="10"/>
      <c r="G466" s="11"/>
      <c r="H466" s="11"/>
    </row>
    <row r="467" customFormat="false" ht="68.65" hidden="false" customHeight="false" outlineLevel="0" collapsed="false">
      <c r="A467" s="10" t="s">
        <v>32</v>
      </c>
      <c r="B467" s="10" t="s">
        <v>1805</v>
      </c>
      <c r="C467" s="10" t="s">
        <v>1806</v>
      </c>
      <c r="D467" s="10" t="s">
        <v>1773</v>
      </c>
      <c r="E467" s="10" t="s">
        <v>1807</v>
      </c>
      <c r="F467" s="10"/>
      <c r="G467" s="11"/>
      <c r="H467" s="11"/>
    </row>
    <row r="468" customFormat="false" ht="57.45" hidden="false" customHeight="false" outlineLevel="0" collapsed="false">
      <c r="A468" s="10" t="s">
        <v>32</v>
      </c>
      <c r="B468" s="10" t="s">
        <v>1808</v>
      </c>
      <c r="C468" s="10" t="s">
        <v>1806</v>
      </c>
      <c r="D468" s="10" t="s">
        <v>1741</v>
      </c>
      <c r="E468" s="10" t="s">
        <v>1809</v>
      </c>
      <c r="F468" s="10"/>
      <c r="G468" s="11"/>
      <c r="H468" s="11"/>
    </row>
    <row r="469" customFormat="false" ht="68.65" hidden="false" customHeight="false" outlineLevel="0" collapsed="false">
      <c r="A469" s="10" t="s">
        <v>32</v>
      </c>
      <c r="B469" s="10" t="s">
        <v>1810</v>
      </c>
      <c r="C469" s="10" t="s">
        <v>1811</v>
      </c>
      <c r="D469" s="10" t="s">
        <v>1812</v>
      </c>
      <c r="E469" s="10" t="s">
        <v>1813</v>
      </c>
      <c r="F469" s="10"/>
      <c r="G469" s="11"/>
      <c r="H469" s="11"/>
    </row>
    <row r="470" customFormat="false" ht="57.45" hidden="false" customHeight="false" outlineLevel="0" collapsed="false">
      <c r="A470" s="10" t="s">
        <v>32</v>
      </c>
      <c r="B470" s="10" t="s">
        <v>1814</v>
      </c>
      <c r="C470" s="10" t="s">
        <v>1811</v>
      </c>
      <c r="D470" s="10" t="s">
        <v>1815</v>
      </c>
      <c r="E470" s="10" t="s">
        <v>1816</v>
      </c>
      <c r="F470" s="10"/>
      <c r="G470" s="11"/>
      <c r="H470" s="11"/>
    </row>
    <row r="471" customFormat="false" ht="46.25" hidden="false" customHeight="false" outlineLevel="0" collapsed="false">
      <c r="A471" s="10" t="s">
        <v>32</v>
      </c>
      <c r="B471" s="10" t="s">
        <v>1817</v>
      </c>
      <c r="C471" s="10" t="s">
        <v>1818</v>
      </c>
      <c r="D471" s="10" t="s">
        <v>1819</v>
      </c>
      <c r="E471" s="10" t="s">
        <v>1820</v>
      </c>
      <c r="F471" s="10"/>
      <c r="G471" s="11"/>
      <c r="H471" s="11"/>
    </row>
    <row r="472" customFormat="false" ht="57.45" hidden="false" customHeight="false" outlineLevel="0" collapsed="false">
      <c r="A472" s="10" t="s">
        <v>32</v>
      </c>
      <c r="B472" s="10" t="s">
        <v>1821</v>
      </c>
      <c r="C472" s="10" t="s">
        <v>1818</v>
      </c>
      <c r="D472" s="10" t="s">
        <v>1822</v>
      </c>
      <c r="E472" s="10" t="s">
        <v>1823</v>
      </c>
      <c r="F472" s="10"/>
      <c r="G472" s="11"/>
      <c r="H472" s="11"/>
    </row>
    <row r="473" customFormat="false" ht="68.65" hidden="false" customHeight="false" outlineLevel="0" collapsed="false">
      <c r="A473" s="10" t="s">
        <v>32</v>
      </c>
      <c r="B473" s="10" t="s">
        <v>1824</v>
      </c>
      <c r="C473" s="10" t="s">
        <v>1825</v>
      </c>
      <c r="D473" s="10" t="s">
        <v>1826</v>
      </c>
      <c r="E473" s="10" t="s">
        <v>1827</v>
      </c>
      <c r="F473" s="10"/>
      <c r="G473" s="11"/>
      <c r="H473" s="11"/>
    </row>
    <row r="474" customFormat="false" ht="35.05" hidden="false" customHeight="false" outlineLevel="0" collapsed="false">
      <c r="A474" s="10" t="s">
        <v>32</v>
      </c>
      <c r="B474" s="10" t="s">
        <v>1828</v>
      </c>
      <c r="C474" s="10" t="s">
        <v>1825</v>
      </c>
      <c r="D474" s="10" t="s">
        <v>1829</v>
      </c>
      <c r="E474" s="10" t="s">
        <v>1830</v>
      </c>
      <c r="F474" s="10"/>
      <c r="G474" s="11"/>
      <c r="H474" s="11"/>
    </row>
    <row r="475" customFormat="false" ht="57.45" hidden="false" customHeight="false" outlineLevel="0" collapsed="false">
      <c r="A475" s="10" t="s">
        <v>32</v>
      </c>
      <c r="B475" s="10" t="s">
        <v>1831</v>
      </c>
      <c r="C475" s="10" t="s">
        <v>1832</v>
      </c>
      <c r="D475" s="10" t="s">
        <v>1833</v>
      </c>
      <c r="E475" s="10" t="s">
        <v>1834</v>
      </c>
      <c r="F475" s="10"/>
      <c r="G475" s="11"/>
      <c r="H475" s="11"/>
    </row>
    <row r="476" customFormat="false" ht="46.25" hidden="false" customHeight="false" outlineLevel="0" collapsed="false">
      <c r="A476" s="10" t="s">
        <v>32</v>
      </c>
      <c r="B476" s="10" t="s">
        <v>1835</v>
      </c>
      <c r="C476" s="10" t="s">
        <v>1832</v>
      </c>
      <c r="D476" s="10" t="s">
        <v>1836</v>
      </c>
      <c r="E476" s="10" t="s">
        <v>1837</v>
      </c>
      <c r="F476" s="10"/>
      <c r="G476" s="11"/>
      <c r="H476" s="11"/>
    </row>
    <row r="477" customFormat="false" ht="79.85" hidden="false" customHeight="false" outlineLevel="0" collapsed="false">
      <c r="A477" s="10" t="s">
        <v>32</v>
      </c>
      <c r="B477" s="10" t="s">
        <v>1838</v>
      </c>
      <c r="C477" s="10" t="s">
        <v>1839</v>
      </c>
      <c r="D477" s="10" t="s">
        <v>1840</v>
      </c>
      <c r="E477" s="10" t="s">
        <v>1841</v>
      </c>
      <c r="F477" s="10"/>
      <c r="G477" s="11"/>
      <c r="H477" s="11"/>
    </row>
    <row r="478" customFormat="false" ht="46.25" hidden="false" customHeight="false" outlineLevel="0" collapsed="false">
      <c r="A478" s="10" t="s">
        <v>32</v>
      </c>
      <c r="B478" s="10" t="s">
        <v>1842</v>
      </c>
      <c r="C478" s="10" t="s">
        <v>1839</v>
      </c>
      <c r="D478" s="10" t="s">
        <v>1843</v>
      </c>
      <c r="E478" s="10" t="s">
        <v>1844</v>
      </c>
      <c r="F478" s="10"/>
      <c r="G478" s="11"/>
      <c r="H478" s="11"/>
    </row>
    <row r="479" customFormat="false" ht="68.65" hidden="false" customHeight="false" outlineLevel="0" collapsed="false">
      <c r="A479" s="10" t="s">
        <v>32</v>
      </c>
      <c r="B479" s="10" t="s">
        <v>1845</v>
      </c>
      <c r="C479" s="10" t="s">
        <v>1846</v>
      </c>
      <c r="D479" s="10" t="s">
        <v>1847</v>
      </c>
      <c r="E479" s="10" t="s">
        <v>1848</v>
      </c>
      <c r="F479" s="10"/>
      <c r="G479" s="11"/>
      <c r="H479" s="11"/>
    </row>
    <row r="480" customFormat="false" ht="46.25" hidden="false" customHeight="false" outlineLevel="0" collapsed="false">
      <c r="A480" s="10" t="s">
        <v>32</v>
      </c>
      <c r="B480" s="10" t="s">
        <v>1849</v>
      </c>
      <c r="C480" s="10" t="s">
        <v>1846</v>
      </c>
      <c r="D480" s="10" t="s">
        <v>1850</v>
      </c>
      <c r="E480" s="10" t="s">
        <v>1851</v>
      </c>
      <c r="F480" s="10"/>
      <c r="G480" s="11"/>
      <c r="H480" s="11"/>
    </row>
    <row r="481" customFormat="false" ht="57.45" hidden="false" customHeight="false" outlineLevel="0" collapsed="false">
      <c r="A481" s="10" t="s">
        <v>32</v>
      </c>
      <c r="B481" s="10" t="s">
        <v>1852</v>
      </c>
      <c r="C481" s="10" t="s">
        <v>1853</v>
      </c>
      <c r="D481" s="10" t="s">
        <v>1854</v>
      </c>
      <c r="E481" s="10" t="s">
        <v>1855</v>
      </c>
      <c r="F481" s="10"/>
      <c r="G481" s="11"/>
      <c r="H481" s="11"/>
    </row>
    <row r="482" customFormat="false" ht="46.25" hidden="false" customHeight="false" outlineLevel="0" collapsed="false">
      <c r="A482" s="10" t="s">
        <v>32</v>
      </c>
      <c r="B482" s="10" t="s">
        <v>1856</v>
      </c>
      <c r="C482" s="10" t="s">
        <v>1853</v>
      </c>
      <c r="D482" s="10" t="s">
        <v>1857</v>
      </c>
      <c r="E482" s="10" t="s">
        <v>1858</v>
      </c>
      <c r="F482" s="10"/>
      <c r="G482" s="11"/>
      <c r="H482" s="11"/>
    </row>
    <row r="483" customFormat="false" ht="68.65" hidden="false" customHeight="false" outlineLevel="0" collapsed="false">
      <c r="A483" s="10" t="s">
        <v>32</v>
      </c>
      <c r="B483" s="10" t="s">
        <v>1859</v>
      </c>
      <c r="C483" s="10" t="s">
        <v>1860</v>
      </c>
      <c r="D483" s="10" t="s">
        <v>1861</v>
      </c>
      <c r="E483" s="10" t="s">
        <v>1862</v>
      </c>
      <c r="F483" s="10"/>
      <c r="G483" s="11"/>
      <c r="H483" s="11"/>
    </row>
    <row r="484" customFormat="false" ht="46.25" hidden="false" customHeight="false" outlineLevel="0" collapsed="false">
      <c r="A484" s="10" t="s">
        <v>32</v>
      </c>
      <c r="B484" s="10" t="s">
        <v>1863</v>
      </c>
      <c r="C484" s="10" t="s">
        <v>1860</v>
      </c>
      <c r="D484" s="10" t="s">
        <v>1864</v>
      </c>
      <c r="E484" s="10" t="s">
        <v>1865</v>
      </c>
      <c r="F484" s="10"/>
      <c r="G484" s="11"/>
      <c r="H484" s="11"/>
    </row>
    <row r="485" customFormat="false" ht="68.65" hidden="false" customHeight="false" outlineLevel="0" collapsed="false">
      <c r="A485" s="10" t="s">
        <v>32</v>
      </c>
      <c r="B485" s="10" t="s">
        <v>1866</v>
      </c>
      <c r="C485" s="10" t="s">
        <v>1867</v>
      </c>
      <c r="D485" s="10" t="s">
        <v>1868</v>
      </c>
      <c r="E485" s="10" t="s">
        <v>1869</v>
      </c>
      <c r="F485" s="10"/>
      <c r="G485" s="11"/>
      <c r="H485" s="11"/>
    </row>
    <row r="486" customFormat="false" ht="79.85" hidden="false" customHeight="false" outlineLevel="0" collapsed="false">
      <c r="A486" s="10" t="s">
        <v>32</v>
      </c>
      <c r="B486" s="10" t="s">
        <v>1870</v>
      </c>
      <c r="C486" s="10" t="s">
        <v>1871</v>
      </c>
      <c r="D486" s="10" t="s">
        <v>1872</v>
      </c>
      <c r="E486" s="10" t="s">
        <v>1873</v>
      </c>
      <c r="F486" s="10"/>
      <c r="G486" s="11"/>
      <c r="H486" s="11"/>
    </row>
    <row r="487" customFormat="false" ht="79.85" hidden="false" customHeight="false" outlineLevel="0" collapsed="false">
      <c r="A487" s="10" t="s">
        <v>32</v>
      </c>
      <c r="B487" s="10" t="s">
        <v>1874</v>
      </c>
      <c r="C487" s="10" t="s">
        <v>1875</v>
      </c>
      <c r="D487" s="10" t="s">
        <v>1766</v>
      </c>
      <c r="E487" s="10" t="s">
        <v>1876</v>
      </c>
      <c r="F487" s="10"/>
      <c r="G487" s="11"/>
      <c r="H487" s="11"/>
    </row>
    <row r="488" customFormat="false" ht="68.65" hidden="false" customHeight="false" outlineLevel="0" collapsed="false">
      <c r="A488" s="10" t="s">
        <v>32</v>
      </c>
      <c r="B488" s="10" t="s">
        <v>1877</v>
      </c>
      <c r="C488" s="10" t="s">
        <v>1878</v>
      </c>
      <c r="D488" s="10" t="s">
        <v>1879</v>
      </c>
      <c r="E488" s="10" t="s">
        <v>1880</v>
      </c>
      <c r="F488" s="10"/>
      <c r="G488" s="11"/>
      <c r="H488" s="11"/>
    </row>
    <row r="489" customFormat="false" ht="68.65" hidden="false" customHeight="false" outlineLevel="0" collapsed="false">
      <c r="A489" s="10" t="s">
        <v>32</v>
      </c>
      <c r="B489" s="10" t="s">
        <v>1881</v>
      </c>
      <c r="C489" s="10" t="s">
        <v>1882</v>
      </c>
      <c r="D489" s="10" t="s">
        <v>1883</v>
      </c>
      <c r="E489" s="10" t="s">
        <v>1884</v>
      </c>
      <c r="F489" s="10"/>
      <c r="G489" s="11"/>
      <c r="H489" s="11"/>
    </row>
    <row r="490" customFormat="false" ht="57.45" hidden="false" customHeight="false" outlineLevel="0" collapsed="false">
      <c r="A490" s="10" t="s">
        <v>32</v>
      </c>
      <c r="B490" s="10" t="s">
        <v>1885</v>
      </c>
      <c r="C490" s="10" t="s">
        <v>1886</v>
      </c>
      <c r="D490" s="10" t="s">
        <v>1887</v>
      </c>
      <c r="E490" s="10" t="s">
        <v>1888</v>
      </c>
      <c r="F490" s="10"/>
      <c r="G490" s="11"/>
      <c r="H490" s="11"/>
    </row>
    <row r="491" customFormat="false" ht="91" hidden="false" customHeight="false" outlineLevel="0" collapsed="false">
      <c r="A491" s="10" t="s">
        <v>32</v>
      </c>
      <c r="B491" s="10" t="s">
        <v>1889</v>
      </c>
      <c r="C491" s="10" t="s">
        <v>1890</v>
      </c>
      <c r="D491" s="10" t="s">
        <v>1891</v>
      </c>
      <c r="E491" s="10" t="s">
        <v>1892</v>
      </c>
      <c r="F491" s="10"/>
      <c r="G491" s="11"/>
      <c r="H491" s="11"/>
    </row>
    <row r="492" customFormat="false" ht="91" hidden="false" customHeight="false" outlineLevel="0" collapsed="false">
      <c r="A492" s="10" t="s">
        <v>32</v>
      </c>
      <c r="B492" s="10" t="s">
        <v>1893</v>
      </c>
      <c r="C492" s="10" t="s">
        <v>1894</v>
      </c>
      <c r="D492" s="10" t="s">
        <v>1895</v>
      </c>
      <c r="E492" s="10" t="s">
        <v>1896</v>
      </c>
      <c r="F492" s="10"/>
      <c r="G492" s="11"/>
      <c r="H492" s="11"/>
    </row>
    <row r="493" customFormat="false" ht="68.65" hidden="false" customHeight="false" outlineLevel="0" collapsed="false">
      <c r="A493" s="10" t="s">
        <v>32</v>
      </c>
      <c r="B493" s="10" t="s">
        <v>1897</v>
      </c>
      <c r="C493" s="10" t="s">
        <v>1898</v>
      </c>
      <c r="D493" s="10" t="s">
        <v>1899</v>
      </c>
      <c r="E493" s="10" t="s">
        <v>1900</v>
      </c>
      <c r="F493" s="10"/>
      <c r="G493" s="11"/>
      <c r="H493" s="11"/>
    </row>
    <row r="494" customFormat="false" ht="68.65" hidden="false" customHeight="false" outlineLevel="0" collapsed="false">
      <c r="A494" s="10" t="s">
        <v>32</v>
      </c>
      <c r="B494" s="10" t="s">
        <v>1901</v>
      </c>
      <c r="C494" s="10" t="s">
        <v>1902</v>
      </c>
      <c r="D494" s="10" t="s">
        <v>1903</v>
      </c>
      <c r="E494" s="10" t="s">
        <v>1904</v>
      </c>
      <c r="F494" s="10"/>
      <c r="G494" s="11"/>
      <c r="H494" s="11"/>
    </row>
    <row r="495" customFormat="false" ht="46.25" hidden="false" customHeight="false" outlineLevel="0" collapsed="false">
      <c r="A495" s="10" t="s">
        <v>32</v>
      </c>
      <c r="B495" s="10" t="s">
        <v>1905</v>
      </c>
      <c r="C495" s="10" t="s">
        <v>1906</v>
      </c>
      <c r="D495" s="10" t="s">
        <v>1907</v>
      </c>
      <c r="E495" s="10" t="s">
        <v>1908</v>
      </c>
      <c r="F495" s="10"/>
      <c r="G495" s="11"/>
      <c r="H495" s="11"/>
    </row>
    <row r="496" customFormat="false" ht="46.25" hidden="false" customHeight="false" outlineLevel="0" collapsed="false">
      <c r="A496" s="10" t="s">
        <v>32</v>
      </c>
      <c r="B496" s="10" t="s">
        <v>1909</v>
      </c>
      <c r="C496" s="10" t="s">
        <v>1910</v>
      </c>
      <c r="D496" s="10" t="s">
        <v>1907</v>
      </c>
      <c r="E496" s="10" t="s">
        <v>1911</v>
      </c>
      <c r="F496" s="10"/>
      <c r="G496" s="11"/>
      <c r="H496" s="11"/>
    </row>
    <row r="497" customFormat="false" ht="68.65" hidden="false" customHeight="false" outlineLevel="0" collapsed="false">
      <c r="A497" s="10" t="s">
        <v>32</v>
      </c>
      <c r="B497" s="10" t="s">
        <v>1912</v>
      </c>
      <c r="C497" s="10" t="s">
        <v>1913</v>
      </c>
      <c r="D497" s="10" t="s">
        <v>1914</v>
      </c>
      <c r="E497" s="10" t="s">
        <v>1915</v>
      </c>
      <c r="F497" s="10"/>
      <c r="G497" s="11"/>
      <c r="H497" s="11"/>
    </row>
    <row r="498" customFormat="false" ht="57.45" hidden="false" customHeight="false" outlineLevel="0" collapsed="false">
      <c r="A498" s="10" t="s">
        <v>32</v>
      </c>
      <c r="B498" s="10" t="s">
        <v>1916</v>
      </c>
      <c r="C498" s="10" t="s">
        <v>1917</v>
      </c>
      <c r="D498" s="10" t="s">
        <v>1918</v>
      </c>
      <c r="E498" s="10" t="s">
        <v>1919</v>
      </c>
      <c r="F498" s="10"/>
      <c r="G498" s="11"/>
      <c r="H498" s="11"/>
    </row>
    <row r="499" customFormat="false" ht="57.45" hidden="false" customHeight="false" outlineLevel="0" collapsed="false">
      <c r="A499" s="10" t="s">
        <v>32</v>
      </c>
      <c r="B499" s="10" t="s">
        <v>1920</v>
      </c>
      <c r="C499" s="10" t="s">
        <v>1921</v>
      </c>
      <c r="D499" s="10" t="s">
        <v>1922</v>
      </c>
      <c r="E499" s="10" t="s">
        <v>1923</v>
      </c>
      <c r="F499" s="10"/>
      <c r="G499" s="11"/>
      <c r="H499" s="11"/>
    </row>
    <row r="500" customFormat="false" ht="102.2" hidden="false" customHeight="false" outlineLevel="0" collapsed="false">
      <c r="A500" s="10" t="s">
        <v>33</v>
      </c>
      <c r="B500" s="10" t="s">
        <v>1924</v>
      </c>
      <c r="C500" s="10" t="s">
        <v>1925</v>
      </c>
      <c r="D500" s="10" t="s">
        <v>1926</v>
      </c>
      <c r="E500" s="10" t="s">
        <v>1927</v>
      </c>
      <c r="F500" s="10" t="s">
        <v>1928</v>
      </c>
      <c r="G500" s="11"/>
      <c r="H500" s="11"/>
    </row>
    <row r="501" customFormat="false" ht="102.2" hidden="false" customHeight="false" outlineLevel="0" collapsed="false">
      <c r="A501" s="10" t="s">
        <v>33</v>
      </c>
      <c r="B501" s="10" t="s">
        <v>1929</v>
      </c>
      <c r="C501" s="10" t="s">
        <v>1925</v>
      </c>
      <c r="D501" s="10" t="s">
        <v>1930</v>
      </c>
      <c r="E501" s="10" t="s">
        <v>1931</v>
      </c>
      <c r="F501" s="10" t="s">
        <v>1928</v>
      </c>
      <c r="G501" s="11"/>
      <c r="H501" s="11"/>
    </row>
    <row r="502" customFormat="false" ht="102.2" hidden="false" customHeight="false" outlineLevel="0" collapsed="false">
      <c r="A502" s="10" t="s">
        <v>33</v>
      </c>
      <c r="B502" s="10" t="s">
        <v>1932</v>
      </c>
      <c r="C502" s="10" t="s">
        <v>1925</v>
      </c>
      <c r="D502" s="10" t="s">
        <v>1933</v>
      </c>
      <c r="E502" s="10" t="s">
        <v>1934</v>
      </c>
      <c r="F502" s="10" t="s">
        <v>1928</v>
      </c>
      <c r="G502" s="11"/>
      <c r="H502" s="11"/>
    </row>
    <row r="503" customFormat="false" ht="102.2" hidden="false" customHeight="false" outlineLevel="0" collapsed="false">
      <c r="A503" s="10" t="s">
        <v>33</v>
      </c>
      <c r="B503" s="10" t="s">
        <v>1935</v>
      </c>
      <c r="C503" s="10" t="s">
        <v>1925</v>
      </c>
      <c r="D503" s="10" t="s">
        <v>1936</v>
      </c>
      <c r="E503" s="10" t="s">
        <v>1937</v>
      </c>
      <c r="F503" s="10" t="s">
        <v>1928</v>
      </c>
      <c r="G503" s="11"/>
      <c r="H503" s="11"/>
    </row>
    <row r="504" customFormat="false" ht="102.2" hidden="false" customHeight="false" outlineLevel="0" collapsed="false">
      <c r="A504" s="10" t="s">
        <v>33</v>
      </c>
      <c r="B504" s="10" t="s">
        <v>1938</v>
      </c>
      <c r="C504" s="10" t="s">
        <v>1925</v>
      </c>
      <c r="D504" s="10" t="s">
        <v>1939</v>
      </c>
      <c r="E504" s="10" t="s">
        <v>1940</v>
      </c>
      <c r="F504" s="10" t="s">
        <v>1928</v>
      </c>
      <c r="G504" s="11"/>
      <c r="H504" s="11"/>
    </row>
    <row r="505" customFormat="false" ht="102.2" hidden="false" customHeight="false" outlineLevel="0" collapsed="false">
      <c r="A505" s="10" t="s">
        <v>33</v>
      </c>
      <c r="B505" s="10" t="s">
        <v>1941</v>
      </c>
      <c r="C505" s="10" t="s">
        <v>1925</v>
      </c>
      <c r="D505" s="10" t="s">
        <v>1942</v>
      </c>
      <c r="E505" s="10" t="s">
        <v>1943</v>
      </c>
      <c r="F505" s="10" t="s">
        <v>1928</v>
      </c>
      <c r="G505" s="11"/>
      <c r="H505" s="11"/>
    </row>
    <row r="506" customFormat="false" ht="124.6" hidden="false" customHeight="false" outlineLevel="0" collapsed="false">
      <c r="A506" s="10" t="s">
        <v>33</v>
      </c>
      <c r="B506" s="10" t="s">
        <v>1944</v>
      </c>
      <c r="C506" s="10" t="s">
        <v>1945</v>
      </c>
      <c r="D506" s="10" t="s">
        <v>1946</v>
      </c>
      <c r="E506" s="10" t="s">
        <v>1947</v>
      </c>
      <c r="F506" s="10" t="s">
        <v>1948</v>
      </c>
      <c r="G506" s="11"/>
      <c r="H506" s="11"/>
    </row>
    <row r="507" customFormat="false" ht="124.6" hidden="false" customHeight="false" outlineLevel="0" collapsed="false">
      <c r="A507" s="10" t="s">
        <v>33</v>
      </c>
      <c r="B507" s="10" t="s">
        <v>1949</v>
      </c>
      <c r="C507" s="10" t="s">
        <v>1945</v>
      </c>
      <c r="D507" s="10" t="s">
        <v>1950</v>
      </c>
      <c r="E507" s="10" t="s">
        <v>1951</v>
      </c>
      <c r="F507" s="10" t="s">
        <v>1948</v>
      </c>
      <c r="G507" s="11"/>
      <c r="H507" s="11"/>
    </row>
    <row r="508" customFormat="false" ht="91" hidden="false" customHeight="false" outlineLevel="0" collapsed="false">
      <c r="A508" s="10" t="s">
        <v>33</v>
      </c>
      <c r="B508" s="10" t="s">
        <v>1952</v>
      </c>
      <c r="C508" s="10" t="s">
        <v>1945</v>
      </c>
      <c r="D508" s="10" t="s">
        <v>1953</v>
      </c>
      <c r="E508" s="10" t="s">
        <v>1954</v>
      </c>
      <c r="F508" s="10" t="s">
        <v>1955</v>
      </c>
      <c r="G508" s="11"/>
      <c r="H508" s="11"/>
    </row>
    <row r="509" customFormat="false" ht="91" hidden="false" customHeight="false" outlineLevel="0" collapsed="false">
      <c r="A509" s="10" t="s">
        <v>33</v>
      </c>
      <c r="B509" s="10" t="s">
        <v>1956</v>
      </c>
      <c r="C509" s="10" t="s">
        <v>1945</v>
      </c>
      <c r="D509" s="10" t="s">
        <v>1957</v>
      </c>
      <c r="E509" s="10" t="s">
        <v>1958</v>
      </c>
      <c r="F509" s="10" t="s">
        <v>1955</v>
      </c>
      <c r="G509" s="11"/>
      <c r="H509" s="11"/>
    </row>
    <row r="510" customFormat="false" ht="102.2" hidden="false" customHeight="false" outlineLevel="0" collapsed="false">
      <c r="A510" s="10" t="s">
        <v>33</v>
      </c>
      <c r="B510" s="10" t="s">
        <v>1959</v>
      </c>
      <c r="C510" s="10" t="s">
        <v>1945</v>
      </c>
      <c r="D510" s="10" t="s">
        <v>1960</v>
      </c>
      <c r="E510" s="10" t="s">
        <v>1961</v>
      </c>
      <c r="F510" s="10" t="s">
        <v>1962</v>
      </c>
      <c r="G510" s="11"/>
      <c r="H510" s="11"/>
    </row>
    <row r="511" customFormat="false" ht="102.2" hidden="false" customHeight="false" outlineLevel="0" collapsed="false">
      <c r="A511" s="10" t="s">
        <v>33</v>
      </c>
      <c r="B511" s="10" t="s">
        <v>1963</v>
      </c>
      <c r="C511" s="10" t="s">
        <v>1945</v>
      </c>
      <c r="D511" s="10" t="s">
        <v>1964</v>
      </c>
      <c r="E511" s="10" t="s">
        <v>1965</v>
      </c>
      <c r="F511" s="10" t="s">
        <v>1962</v>
      </c>
      <c r="G511" s="11"/>
      <c r="H511" s="11"/>
    </row>
    <row r="512" customFormat="false" ht="46.25" hidden="false" customHeight="false" outlineLevel="0" collapsed="false">
      <c r="A512" s="10" t="s">
        <v>33</v>
      </c>
      <c r="B512" s="10" t="s">
        <v>1966</v>
      </c>
      <c r="C512" s="10" t="s">
        <v>1967</v>
      </c>
      <c r="D512" s="10" t="s">
        <v>1968</v>
      </c>
      <c r="E512" s="10" t="s">
        <v>1969</v>
      </c>
      <c r="F512" s="10" t="s">
        <v>1970</v>
      </c>
      <c r="G512" s="11"/>
      <c r="H512" s="11"/>
    </row>
    <row r="513" customFormat="false" ht="46.25" hidden="false" customHeight="false" outlineLevel="0" collapsed="false">
      <c r="A513" s="10" t="s">
        <v>33</v>
      </c>
      <c r="B513" s="10" t="s">
        <v>1971</v>
      </c>
      <c r="C513" s="10" t="s">
        <v>1967</v>
      </c>
      <c r="D513" s="10" t="s">
        <v>1972</v>
      </c>
      <c r="E513" s="10" t="s">
        <v>1973</v>
      </c>
      <c r="F513" s="10" t="s">
        <v>1970</v>
      </c>
      <c r="G513" s="11"/>
      <c r="H513" s="11"/>
    </row>
    <row r="514" customFormat="false" ht="68.65" hidden="false" customHeight="false" outlineLevel="0" collapsed="false">
      <c r="A514" s="10" t="s">
        <v>33</v>
      </c>
      <c r="B514" s="10" t="s">
        <v>1974</v>
      </c>
      <c r="C514" s="10" t="s">
        <v>1967</v>
      </c>
      <c r="D514" s="10" t="s">
        <v>1975</v>
      </c>
      <c r="E514" s="10" t="s">
        <v>1976</v>
      </c>
      <c r="F514" s="10" t="s">
        <v>1970</v>
      </c>
      <c r="G514" s="11"/>
      <c r="H514" s="11"/>
    </row>
    <row r="515" customFormat="false" ht="46.25" hidden="false" customHeight="false" outlineLevel="0" collapsed="false">
      <c r="A515" s="10" t="s">
        <v>33</v>
      </c>
      <c r="B515" s="10" t="s">
        <v>1977</v>
      </c>
      <c r="C515" s="10" t="s">
        <v>1967</v>
      </c>
      <c r="D515" s="10" t="s">
        <v>1978</v>
      </c>
      <c r="E515" s="10" t="s">
        <v>1979</v>
      </c>
      <c r="F515" s="10" t="s">
        <v>1970</v>
      </c>
      <c r="G515" s="11"/>
      <c r="H515" s="11"/>
    </row>
    <row r="516" customFormat="false" ht="46.25" hidden="false" customHeight="false" outlineLevel="0" collapsed="false">
      <c r="A516" s="10" t="s">
        <v>33</v>
      </c>
      <c r="B516" s="10" t="s">
        <v>1980</v>
      </c>
      <c r="C516" s="10" t="s">
        <v>1967</v>
      </c>
      <c r="D516" s="10" t="s">
        <v>1981</v>
      </c>
      <c r="E516" s="10" t="s">
        <v>1982</v>
      </c>
      <c r="F516" s="10" t="s">
        <v>1970</v>
      </c>
      <c r="G516" s="11"/>
      <c r="H516" s="11"/>
    </row>
    <row r="517" customFormat="false" ht="180.55" hidden="false" customHeight="false" outlineLevel="0" collapsed="false">
      <c r="A517" s="10" t="s">
        <v>33</v>
      </c>
      <c r="B517" s="10" t="s">
        <v>1983</v>
      </c>
      <c r="C517" s="10" t="s">
        <v>1984</v>
      </c>
      <c r="D517" s="10" t="s">
        <v>1985</v>
      </c>
      <c r="E517" s="10" t="s">
        <v>1986</v>
      </c>
      <c r="F517" s="10" t="s">
        <v>1987</v>
      </c>
      <c r="G517" s="11"/>
      <c r="H517" s="11"/>
    </row>
    <row r="518" customFormat="false" ht="180.55" hidden="false" customHeight="false" outlineLevel="0" collapsed="false">
      <c r="A518" s="10" t="s">
        <v>33</v>
      </c>
      <c r="B518" s="10" t="s">
        <v>1988</v>
      </c>
      <c r="C518" s="10" t="s">
        <v>1984</v>
      </c>
      <c r="D518" s="10" t="s">
        <v>1989</v>
      </c>
      <c r="E518" s="10" t="s">
        <v>1990</v>
      </c>
      <c r="F518" s="10" t="s">
        <v>1987</v>
      </c>
      <c r="G518" s="11"/>
      <c r="H518" s="11"/>
    </row>
    <row r="519" customFormat="false" ht="180.55" hidden="false" customHeight="false" outlineLevel="0" collapsed="false">
      <c r="A519" s="10" t="s">
        <v>33</v>
      </c>
      <c r="B519" s="10" t="s">
        <v>1991</v>
      </c>
      <c r="C519" s="10" t="s">
        <v>1984</v>
      </c>
      <c r="D519" s="10" t="s">
        <v>1992</v>
      </c>
      <c r="E519" s="10" t="s">
        <v>1993</v>
      </c>
      <c r="F519" s="10" t="s">
        <v>1987</v>
      </c>
      <c r="G519" s="11"/>
      <c r="H519" s="11"/>
    </row>
    <row r="520" customFormat="false" ht="180.55" hidden="false" customHeight="false" outlineLevel="0" collapsed="false">
      <c r="A520" s="10" t="s">
        <v>33</v>
      </c>
      <c r="B520" s="10" t="s">
        <v>1994</v>
      </c>
      <c r="C520" s="10" t="s">
        <v>1984</v>
      </c>
      <c r="D520" s="10" t="s">
        <v>1995</v>
      </c>
      <c r="E520" s="10" t="s">
        <v>1996</v>
      </c>
      <c r="F520" s="10" t="s">
        <v>1987</v>
      </c>
      <c r="G520" s="11"/>
      <c r="H520" s="11"/>
    </row>
    <row r="521" customFormat="false" ht="180.55" hidden="false" customHeight="false" outlineLevel="0" collapsed="false">
      <c r="A521" s="10" t="s">
        <v>33</v>
      </c>
      <c r="B521" s="10" t="s">
        <v>1997</v>
      </c>
      <c r="C521" s="10" t="s">
        <v>1984</v>
      </c>
      <c r="D521" s="10" t="s">
        <v>1998</v>
      </c>
      <c r="E521" s="10" t="s">
        <v>1999</v>
      </c>
      <c r="F521" s="10" t="s">
        <v>1987</v>
      </c>
      <c r="G521" s="11"/>
      <c r="H521" s="11"/>
    </row>
    <row r="522" customFormat="false" ht="180.55" hidden="false" customHeight="false" outlineLevel="0" collapsed="false">
      <c r="A522" s="10" t="s">
        <v>33</v>
      </c>
      <c r="B522" s="10" t="s">
        <v>2000</v>
      </c>
      <c r="C522" s="10" t="s">
        <v>2001</v>
      </c>
      <c r="D522" s="10" t="s">
        <v>2002</v>
      </c>
      <c r="E522" s="10" t="s">
        <v>2003</v>
      </c>
      <c r="F522" s="10" t="s">
        <v>2004</v>
      </c>
      <c r="G522" s="11"/>
      <c r="H522" s="11"/>
    </row>
    <row r="523" customFormat="false" ht="180.55" hidden="false" customHeight="false" outlineLevel="0" collapsed="false">
      <c r="A523" s="10" t="s">
        <v>33</v>
      </c>
      <c r="B523" s="10" t="s">
        <v>2005</v>
      </c>
      <c r="C523" s="10" t="s">
        <v>2001</v>
      </c>
      <c r="D523" s="10" t="s">
        <v>2006</v>
      </c>
      <c r="E523" s="10" t="s">
        <v>2007</v>
      </c>
      <c r="F523" s="10" t="s">
        <v>2004</v>
      </c>
      <c r="G523" s="11"/>
      <c r="H523" s="11"/>
    </row>
    <row r="524" customFormat="false" ht="180.55" hidden="false" customHeight="false" outlineLevel="0" collapsed="false">
      <c r="A524" s="10" t="s">
        <v>33</v>
      </c>
      <c r="B524" s="10" t="s">
        <v>2008</v>
      </c>
      <c r="C524" s="10" t="s">
        <v>2001</v>
      </c>
      <c r="D524" s="10" t="s">
        <v>2009</v>
      </c>
      <c r="E524" s="10" t="s">
        <v>2010</v>
      </c>
      <c r="F524" s="10" t="s">
        <v>2004</v>
      </c>
      <c r="G524" s="11"/>
      <c r="H524" s="11"/>
    </row>
    <row r="525" customFormat="false" ht="180.55" hidden="false" customHeight="false" outlineLevel="0" collapsed="false">
      <c r="A525" s="10" t="s">
        <v>33</v>
      </c>
      <c r="B525" s="10" t="s">
        <v>2011</v>
      </c>
      <c r="C525" s="10" t="s">
        <v>2001</v>
      </c>
      <c r="D525" s="10" t="s">
        <v>2012</v>
      </c>
      <c r="E525" s="10" t="s">
        <v>2013</v>
      </c>
      <c r="F525" s="10" t="s">
        <v>2004</v>
      </c>
      <c r="G525" s="11"/>
      <c r="H525" s="11"/>
    </row>
    <row r="526" customFormat="false" ht="180.55" hidden="false" customHeight="false" outlineLevel="0" collapsed="false">
      <c r="A526" s="10" t="s">
        <v>33</v>
      </c>
      <c r="B526" s="10" t="s">
        <v>2014</v>
      </c>
      <c r="C526" s="10" t="s">
        <v>2001</v>
      </c>
      <c r="D526" s="10" t="s">
        <v>2015</v>
      </c>
      <c r="E526" s="10" t="s">
        <v>2016</v>
      </c>
      <c r="F526" s="10" t="s">
        <v>2004</v>
      </c>
      <c r="G526" s="11"/>
      <c r="H526" s="11"/>
    </row>
    <row r="527" customFormat="false" ht="180.55" hidden="false" customHeight="false" outlineLevel="0" collapsed="false">
      <c r="A527" s="10" t="s">
        <v>33</v>
      </c>
      <c r="B527" s="10" t="s">
        <v>2017</v>
      </c>
      <c r="C527" s="10" t="s">
        <v>2018</v>
      </c>
      <c r="D527" s="10" t="s">
        <v>2019</v>
      </c>
      <c r="E527" s="10" t="s">
        <v>2020</v>
      </c>
      <c r="F527" s="10" t="s">
        <v>2021</v>
      </c>
      <c r="G527" s="11"/>
      <c r="H527" s="11"/>
    </row>
    <row r="528" customFormat="false" ht="180.55" hidden="false" customHeight="false" outlineLevel="0" collapsed="false">
      <c r="A528" s="10" t="s">
        <v>33</v>
      </c>
      <c r="B528" s="10" t="s">
        <v>2022</v>
      </c>
      <c r="C528" s="10" t="s">
        <v>2018</v>
      </c>
      <c r="D528" s="10" t="s">
        <v>2023</v>
      </c>
      <c r="E528" s="10" t="s">
        <v>2024</v>
      </c>
      <c r="F528" s="10" t="s">
        <v>2021</v>
      </c>
      <c r="G528" s="11"/>
      <c r="H528" s="11"/>
    </row>
    <row r="529" customFormat="false" ht="180.55" hidden="false" customHeight="false" outlineLevel="0" collapsed="false">
      <c r="A529" s="10" t="s">
        <v>33</v>
      </c>
      <c r="B529" s="10" t="s">
        <v>2025</v>
      </c>
      <c r="C529" s="10" t="s">
        <v>2018</v>
      </c>
      <c r="D529" s="10" t="s">
        <v>2026</v>
      </c>
      <c r="E529" s="10" t="s">
        <v>2027</v>
      </c>
      <c r="F529" s="10" t="s">
        <v>2021</v>
      </c>
      <c r="G529" s="11"/>
      <c r="H529" s="11"/>
    </row>
    <row r="530" customFormat="false" ht="180.55" hidden="false" customHeight="false" outlineLevel="0" collapsed="false">
      <c r="A530" s="10" t="s">
        <v>33</v>
      </c>
      <c r="B530" s="10" t="s">
        <v>2028</v>
      </c>
      <c r="C530" s="10" t="s">
        <v>2018</v>
      </c>
      <c r="D530" s="10" t="s">
        <v>2029</v>
      </c>
      <c r="E530" s="10" t="s">
        <v>2030</v>
      </c>
      <c r="F530" s="10" t="s">
        <v>2021</v>
      </c>
      <c r="G530" s="11"/>
      <c r="H530" s="11"/>
    </row>
    <row r="531" customFormat="false" ht="180.55" hidden="false" customHeight="false" outlineLevel="0" collapsed="false">
      <c r="A531" s="10" t="s">
        <v>33</v>
      </c>
      <c r="B531" s="10" t="s">
        <v>2031</v>
      </c>
      <c r="C531" s="10" t="s">
        <v>2018</v>
      </c>
      <c r="D531" s="10" t="s">
        <v>2032</v>
      </c>
      <c r="E531" s="10" t="s">
        <v>2033</v>
      </c>
      <c r="F531" s="10" t="s">
        <v>2021</v>
      </c>
      <c r="G531" s="11"/>
      <c r="H531" s="11"/>
    </row>
    <row r="532" customFormat="false" ht="169.4" hidden="false" customHeight="false" outlineLevel="0" collapsed="false">
      <c r="A532" s="10" t="s">
        <v>33</v>
      </c>
      <c r="B532" s="10" t="s">
        <v>2034</v>
      </c>
      <c r="C532" s="10" t="s">
        <v>2035</v>
      </c>
      <c r="D532" s="10" t="s">
        <v>2036</v>
      </c>
      <c r="E532" s="10" t="s">
        <v>2037</v>
      </c>
      <c r="F532" s="10" t="s">
        <v>2038</v>
      </c>
      <c r="G532" s="11"/>
      <c r="H532" s="11"/>
    </row>
    <row r="533" customFormat="false" ht="169.4" hidden="false" customHeight="false" outlineLevel="0" collapsed="false">
      <c r="A533" s="10" t="s">
        <v>33</v>
      </c>
      <c r="B533" s="10" t="s">
        <v>2039</v>
      </c>
      <c r="C533" s="10" t="s">
        <v>2035</v>
      </c>
      <c r="D533" s="10" t="s">
        <v>2040</v>
      </c>
      <c r="E533" s="10" t="s">
        <v>2041</v>
      </c>
      <c r="F533" s="10" t="s">
        <v>2038</v>
      </c>
      <c r="G533" s="11"/>
      <c r="H533" s="11"/>
    </row>
    <row r="534" customFormat="false" ht="169.4" hidden="false" customHeight="false" outlineLevel="0" collapsed="false">
      <c r="A534" s="10" t="s">
        <v>33</v>
      </c>
      <c r="B534" s="10" t="s">
        <v>2042</v>
      </c>
      <c r="C534" s="10" t="s">
        <v>2035</v>
      </c>
      <c r="D534" s="10" t="s">
        <v>2043</v>
      </c>
      <c r="E534" s="10" t="s">
        <v>2044</v>
      </c>
      <c r="F534" s="10" t="s">
        <v>2038</v>
      </c>
      <c r="G534" s="11"/>
      <c r="H534" s="11"/>
    </row>
    <row r="535" customFormat="false" ht="169.4" hidden="false" customHeight="false" outlineLevel="0" collapsed="false">
      <c r="A535" s="10" t="s">
        <v>33</v>
      </c>
      <c r="B535" s="10" t="s">
        <v>2045</v>
      </c>
      <c r="C535" s="10" t="s">
        <v>2035</v>
      </c>
      <c r="D535" s="10" t="s">
        <v>2046</v>
      </c>
      <c r="E535" s="10" t="s">
        <v>2047</v>
      </c>
      <c r="F535" s="10" t="s">
        <v>2038</v>
      </c>
      <c r="G535" s="11"/>
      <c r="H535" s="11"/>
    </row>
    <row r="536" customFormat="false" ht="169.4" hidden="false" customHeight="false" outlineLevel="0" collapsed="false">
      <c r="A536" s="10" t="s">
        <v>33</v>
      </c>
      <c r="B536" s="10" t="s">
        <v>2048</v>
      </c>
      <c r="C536" s="10" t="s">
        <v>2035</v>
      </c>
      <c r="D536" s="10" t="s">
        <v>2049</v>
      </c>
      <c r="E536" s="10" t="s">
        <v>2050</v>
      </c>
      <c r="F536" s="10" t="s">
        <v>2051</v>
      </c>
      <c r="G536" s="11"/>
      <c r="H536" s="11"/>
    </row>
    <row r="537" customFormat="false" ht="169.4" hidden="false" customHeight="false" outlineLevel="0" collapsed="false">
      <c r="A537" s="10" t="s">
        <v>33</v>
      </c>
      <c r="B537" s="10" t="s">
        <v>2052</v>
      </c>
      <c r="C537" s="10" t="s">
        <v>2035</v>
      </c>
      <c r="D537" s="10" t="s">
        <v>2053</v>
      </c>
      <c r="E537" s="10" t="s">
        <v>2054</v>
      </c>
      <c r="F537" s="10" t="s">
        <v>2051</v>
      </c>
      <c r="G537" s="11"/>
      <c r="H537" s="11"/>
    </row>
    <row r="538" customFormat="false" ht="169.4" hidden="false" customHeight="false" outlineLevel="0" collapsed="false">
      <c r="A538" s="10" t="s">
        <v>33</v>
      </c>
      <c r="B538" s="10" t="s">
        <v>2055</v>
      </c>
      <c r="C538" s="10" t="s">
        <v>2035</v>
      </c>
      <c r="D538" s="10" t="s">
        <v>2056</v>
      </c>
      <c r="E538" s="10" t="s">
        <v>2057</v>
      </c>
      <c r="F538" s="10" t="s">
        <v>2051</v>
      </c>
      <c r="G538" s="11"/>
      <c r="H538" s="11"/>
    </row>
    <row r="539" customFormat="false" ht="169.4" hidden="false" customHeight="false" outlineLevel="0" collapsed="false">
      <c r="A539" s="10" t="s">
        <v>33</v>
      </c>
      <c r="B539" s="10" t="s">
        <v>2058</v>
      </c>
      <c r="C539" s="10" t="s">
        <v>2035</v>
      </c>
      <c r="D539" s="10" t="s">
        <v>2059</v>
      </c>
      <c r="E539" s="10" t="s">
        <v>2060</v>
      </c>
      <c r="F539" s="10" t="s">
        <v>2051</v>
      </c>
      <c r="G539" s="11"/>
      <c r="H539" s="11"/>
    </row>
    <row r="540" customFormat="false" ht="169.4" hidden="false" customHeight="false" outlineLevel="0" collapsed="false">
      <c r="A540" s="10" t="s">
        <v>33</v>
      </c>
      <c r="B540" s="10" t="s">
        <v>2061</v>
      </c>
      <c r="C540" s="10" t="s">
        <v>2035</v>
      </c>
      <c r="D540" s="10" t="s">
        <v>2062</v>
      </c>
      <c r="E540" s="10" t="s">
        <v>2063</v>
      </c>
      <c r="F540" s="10" t="s">
        <v>2051</v>
      </c>
      <c r="G540" s="11"/>
      <c r="H540" s="11"/>
    </row>
    <row r="541" customFormat="false" ht="180.55" hidden="false" customHeight="false" outlineLevel="0" collapsed="false">
      <c r="A541" s="10" t="s">
        <v>33</v>
      </c>
      <c r="B541" s="10" t="s">
        <v>2064</v>
      </c>
      <c r="C541" s="10" t="s">
        <v>2001</v>
      </c>
      <c r="D541" s="10" t="s">
        <v>2065</v>
      </c>
      <c r="E541" s="10" t="s">
        <v>2066</v>
      </c>
      <c r="F541" s="10" t="s">
        <v>2067</v>
      </c>
      <c r="G541" s="11"/>
      <c r="H541" s="11"/>
    </row>
    <row r="542" customFormat="false" ht="180.55" hidden="false" customHeight="false" outlineLevel="0" collapsed="false">
      <c r="A542" s="10" t="s">
        <v>33</v>
      </c>
      <c r="B542" s="10" t="s">
        <v>2068</v>
      </c>
      <c r="C542" s="10" t="s">
        <v>2001</v>
      </c>
      <c r="D542" s="10" t="s">
        <v>2069</v>
      </c>
      <c r="E542" s="10" t="s">
        <v>2070</v>
      </c>
      <c r="F542" s="10" t="s">
        <v>2067</v>
      </c>
      <c r="G542" s="11"/>
      <c r="H542" s="11"/>
    </row>
    <row r="543" customFormat="false" ht="180.55" hidden="false" customHeight="false" outlineLevel="0" collapsed="false">
      <c r="A543" s="10" t="s">
        <v>33</v>
      </c>
      <c r="B543" s="10" t="s">
        <v>2071</v>
      </c>
      <c r="C543" s="10" t="s">
        <v>2001</v>
      </c>
      <c r="D543" s="10" t="s">
        <v>2072</v>
      </c>
      <c r="E543" s="10" t="s">
        <v>2073</v>
      </c>
      <c r="F543" s="10" t="s">
        <v>2067</v>
      </c>
      <c r="G543" s="11"/>
      <c r="H543" s="11"/>
    </row>
    <row r="544" customFormat="false" ht="180.55" hidden="false" customHeight="false" outlineLevel="0" collapsed="false">
      <c r="A544" s="10" t="s">
        <v>33</v>
      </c>
      <c r="B544" s="10" t="s">
        <v>2074</v>
      </c>
      <c r="C544" s="10" t="s">
        <v>2001</v>
      </c>
      <c r="D544" s="10" t="s">
        <v>2075</v>
      </c>
      <c r="E544" s="10" t="s">
        <v>2076</v>
      </c>
      <c r="F544" s="10" t="s">
        <v>2067</v>
      </c>
      <c r="G544" s="11"/>
      <c r="H544" s="11"/>
    </row>
    <row r="545" customFormat="false" ht="180.55" hidden="false" customHeight="false" outlineLevel="0" collapsed="false">
      <c r="A545" s="10" t="s">
        <v>33</v>
      </c>
      <c r="B545" s="10" t="s">
        <v>2077</v>
      </c>
      <c r="C545" s="10" t="s">
        <v>2001</v>
      </c>
      <c r="D545" s="10" t="s">
        <v>2078</v>
      </c>
      <c r="E545" s="10" t="s">
        <v>2079</v>
      </c>
      <c r="F545" s="10" t="s">
        <v>2067</v>
      </c>
      <c r="G545" s="11"/>
      <c r="H545" s="11"/>
    </row>
    <row r="546" customFormat="false" ht="169.4" hidden="false" customHeight="false" outlineLevel="0" collapsed="false">
      <c r="A546" s="10" t="s">
        <v>33</v>
      </c>
      <c r="B546" s="10" t="s">
        <v>2080</v>
      </c>
      <c r="C546" s="10" t="s">
        <v>2081</v>
      </c>
      <c r="D546" s="10" t="s">
        <v>2082</v>
      </c>
      <c r="E546" s="10" t="s">
        <v>2083</v>
      </c>
      <c r="F546" s="10" t="s">
        <v>2084</v>
      </c>
      <c r="G546" s="11"/>
      <c r="H546" s="11"/>
    </row>
    <row r="547" customFormat="false" ht="169.4" hidden="false" customHeight="false" outlineLevel="0" collapsed="false">
      <c r="A547" s="10" t="s">
        <v>33</v>
      </c>
      <c r="B547" s="10" t="s">
        <v>2085</v>
      </c>
      <c r="C547" s="10" t="s">
        <v>2081</v>
      </c>
      <c r="D547" s="10" t="s">
        <v>2086</v>
      </c>
      <c r="E547" s="10" t="s">
        <v>2087</v>
      </c>
      <c r="F547" s="10" t="s">
        <v>2084</v>
      </c>
      <c r="G547" s="11"/>
      <c r="H547" s="11"/>
    </row>
    <row r="548" customFormat="false" ht="169.4" hidden="false" customHeight="false" outlineLevel="0" collapsed="false">
      <c r="A548" s="10" t="s">
        <v>33</v>
      </c>
      <c r="B548" s="10" t="s">
        <v>2088</v>
      </c>
      <c r="C548" s="10" t="s">
        <v>2081</v>
      </c>
      <c r="D548" s="10" t="s">
        <v>2089</v>
      </c>
      <c r="E548" s="10" t="s">
        <v>2090</v>
      </c>
      <c r="F548" s="10" t="s">
        <v>2084</v>
      </c>
      <c r="G548" s="11"/>
      <c r="H548" s="11"/>
    </row>
    <row r="549" customFormat="false" ht="169.4" hidden="false" customHeight="false" outlineLevel="0" collapsed="false">
      <c r="A549" s="10" t="s">
        <v>33</v>
      </c>
      <c r="B549" s="10" t="s">
        <v>2091</v>
      </c>
      <c r="C549" s="10" t="s">
        <v>2081</v>
      </c>
      <c r="D549" s="10" t="s">
        <v>2092</v>
      </c>
      <c r="E549" s="10" t="s">
        <v>2093</v>
      </c>
      <c r="F549" s="10" t="s">
        <v>2084</v>
      </c>
      <c r="G549" s="11"/>
      <c r="H549" s="11"/>
    </row>
    <row r="550" customFormat="false" ht="135.8" hidden="false" customHeight="false" outlineLevel="0" collapsed="false">
      <c r="A550" s="10" t="s">
        <v>33</v>
      </c>
      <c r="B550" s="10" t="s">
        <v>2094</v>
      </c>
      <c r="C550" s="10" t="s">
        <v>2095</v>
      </c>
      <c r="D550" s="10" t="s">
        <v>2096</v>
      </c>
      <c r="E550" s="10" t="s">
        <v>2097</v>
      </c>
      <c r="F550" s="10" t="s">
        <v>2098</v>
      </c>
      <c r="G550" s="11"/>
      <c r="H550" s="11"/>
    </row>
    <row r="551" customFormat="false" ht="135.8" hidden="false" customHeight="false" outlineLevel="0" collapsed="false">
      <c r="A551" s="10" t="s">
        <v>33</v>
      </c>
      <c r="B551" s="10" t="s">
        <v>2099</v>
      </c>
      <c r="C551" s="10" t="s">
        <v>2095</v>
      </c>
      <c r="D551" s="10" t="s">
        <v>2100</v>
      </c>
      <c r="E551" s="10" t="s">
        <v>2101</v>
      </c>
      <c r="F551" s="10" t="s">
        <v>2098</v>
      </c>
      <c r="G551" s="11"/>
      <c r="H551" s="11"/>
    </row>
    <row r="552" customFormat="false" ht="135.8" hidden="false" customHeight="false" outlineLevel="0" collapsed="false">
      <c r="A552" s="10" t="s">
        <v>33</v>
      </c>
      <c r="B552" s="10" t="s">
        <v>2102</v>
      </c>
      <c r="C552" s="10" t="s">
        <v>2095</v>
      </c>
      <c r="D552" s="10" t="s">
        <v>2103</v>
      </c>
      <c r="E552" s="10" t="s">
        <v>2104</v>
      </c>
      <c r="F552" s="10" t="s">
        <v>2098</v>
      </c>
      <c r="G552" s="11"/>
      <c r="H552" s="11"/>
    </row>
    <row r="553" customFormat="false" ht="135.8" hidden="false" customHeight="false" outlineLevel="0" collapsed="false">
      <c r="A553" s="10" t="s">
        <v>33</v>
      </c>
      <c r="B553" s="10" t="s">
        <v>2105</v>
      </c>
      <c r="C553" s="10" t="s">
        <v>2095</v>
      </c>
      <c r="D553" s="10" t="s">
        <v>2106</v>
      </c>
      <c r="E553" s="10" t="s">
        <v>2107</v>
      </c>
      <c r="F553" s="10" t="s">
        <v>2098</v>
      </c>
      <c r="G553" s="11"/>
      <c r="H553" s="11"/>
    </row>
    <row r="554" customFormat="false" ht="135.8" hidden="false" customHeight="false" outlineLevel="0" collapsed="false">
      <c r="A554" s="10" t="s">
        <v>33</v>
      </c>
      <c r="B554" s="10" t="s">
        <v>2108</v>
      </c>
      <c r="C554" s="10" t="s">
        <v>2109</v>
      </c>
      <c r="D554" s="10" t="s">
        <v>2110</v>
      </c>
      <c r="E554" s="10" t="s">
        <v>2111</v>
      </c>
      <c r="F554" s="10" t="s">
        <v>2112</v>
      </c>
      <c r="G554" s="11"/>
      <c r="H554" s="11"/>
    </row>
    <row r="555" customFormat="false" ht="135.8" hidden="false" customHeight="false" outlineLevel="0" collapsed="false">
      <c r="A555" s="10" t="s">
        <v>33</v>
      </c>
      <c r="B555" s="10" t="s">
        <v>2113</v>
      </c>
      <c r="C555" s="10" t="s">
        <v>2109</v>
      </c>
      <c r="D555" s="10" t="s">
        <v>2114</v>
      </c>
      <c r="E555" s="10" t="s">
        <v>2115</v>
      </c>
      <c r="F555" s="10" t="s">
        <v>2112</v>
      </c>
      <c r="G555" s="11"/>
      <c r="H555" s="11"/>
    </row>
    <row r="556" customFormat="false" ht="135.8" hidden="false" customHeight="false" outlineLevel="0" collapsed="false">
      <c r="A556" s="10" t="s">
        <v>33</v>
      </c>
      <c r="B556" s="10" t="s">
        <v>2116</v>
      </c>
      <c r="C556" s="10" t="s">
        <v>2109</v>
      </c>
      <c r="D556" s="10" t="s">
        <v>2117</v>
      </c>
      <c r="E556" s="10" t="s">
        <v>2118</v>
      </c>
      <c r="F556" s="10" t="s">
        <v>2112</v>
      </c>
      <c r="G556" s="11"/>
      <c r="H556" s="11"/>
    </row>
    <row r="557" customFormat="false" ht="135.8" hidden="false" customHeight="false" outlineLevel="0" collapsed="false">
      <c r="A557" s="10" t="s">
        <v>33</v>
      </c>
      <c r="B557" s="10" t="s">
        <v>2119</v>
      </c>
      <c r="C557" s="10" t="s">
        <v>2109</v>
      </c>
      <c r="D557" s="10" t="s">
        <v>2120</v>
      </c>
      <c r="E557" s="10" t="s">
        <v>2121</v>
      </c>
      <c r="F557" s="10" t="s">
        <v>2112</v>
      </c>
      <c r="G557" s="11"/>
      <c r="H557" s="11"/>
    </row>
    <row r="558" customFormat="false" ht="135.8" hidden="false" customHeight="false" outlineLevel="0" collapsed="false">
      <c r="A558" s="10" t="s">
        <v>33</v>
      </c>
      <c r="B558" s="10" t="s">
        <v>2122</v>
      </c>
      <c r="C558" s="10" t="s">
        <v>2109</v>
      </c>
      <c r="D558" s="10" t="s">
        <v>2123</v>
      </c>
      <c r="E558" s="10" t="s">
        <v>2124</v>
      </c>
      <c r="F558" s="10" t="s">
        <v>2112</v>
      </c>
      <c r="G558" s="11"/>
      <c r="H558" s="11"/>
    </row>
    <row r="559" customFormat="false" ht="147" hidden="false" customHeight="false" outlineLevel="0" collapsed="false">
      <c r="A559" s="10" t="s">
        <v>33</v>
      </c>
      <c r="B559" s="10" t="s">
        <v>2125</v>
      </c>
      <c r="C559" s="10" t="s">
        <v>2035</v>
      </c>
      <c r="D559" s="10" t="s">
        <v>2126</v>
      </c>
      <c r="E559" s="10" t="s">
        <v>2127</v>
      </c>
      <c r="F559" s="10" t="s">
        <v>2128</v>
      </c>
      <c r="G559" s="11"/>
      <c r="H559" s="11"/>
    </row>
    <row r="560" customFormat="false" ht="147" hidden="false" customHeight="false" outlineLevel="0" collapsed="false">
      <c r="A560" s="10" t="s">
        <v>33</v>
      </c>
      <c r="B560" s="10" t="s">
        <v>2129</v>
      </c>
      <c r="C560" s="10" t="s">
        <v>2035</v>
      </c>
      <c r="D560" s="10" t="s">
        <v>2130</v>
      </c>
      <c r="E560" s="10" t="s">
        <v>2131</v>
      </c>
      <c r="F560" s="10" t="s">
        <v>2128</v>
      </c>
      <c r="G560" s="11"/>
      <c r="H560" s="11"/>
    </row>
    <row r="561" customFormat="false" ht="147" hidden="false" customHeight="false" outlineLevel="0" collapsed="false">
      <c r="A561" s="10" t="s">
        <v>33</v>
      </c>
      <c r="B561" s="10" t="s">
        <v>2132</v>
      </c>
      <c r="C561" s="10" t="s">
        <v>2035</v>
      </c>
      <c r="D561" s="10" t="s">
        <v>2133</v>
      </c>
      <c r="E561" s="10" t="s">
        <v>2134</v>
      </c>
      <c r="F561" s="10" t="s">
        <v>2128</v>
      </c>
      <c r="G561" s="11"/>
      <c r="H561" s="11"/>
    </row>
    <row r="562" customFormat="false" ht="147" hidden="false" customHeight="false" outlineLevel="0" collapsed="false">
      <c r="A562" s="10" t="s">
        <v>33</v>
      </c>
      <c r="B562" s="10" t="s">
        <v>2135</v>
      </c>
      <c r="C562" s="10" t="s">
        <v>2035</v>
      </c>
      <c r="D562" s="10" t="s">
        <v>2136</v>
      </c>
      <c r="E562" s="10" t="s">
        <v>2137</v>
      </c>
      <c r="F562" s="10" t="s">
        <v>2128</v>
      </c>
      <c r="G562" s="11"/>
      <c r="H562" s="11"/>
    </row>
    <row r="563" customFormat="false" ht="147" hidden="false" customHeight="false" outlineLevel="0" collapsed="false">
      <c r="A563" s="10" t="s">
        <v>33</v>
      </c>
      <c r="B563" s="10" t="s">
        <v>2138</v>
      </c>
      <c r="C563" s="10" t="s">
        <v>2035</v>
      </c>
      <c r="D563" s="10" t="s">
        <v>2139</v>
      </c>
      <c r="E563" s="10" t="s">
        <v>2140</v>
      </c>
      <c r="F563" s="10" t="s">
        <v>2128</v>
      </c>
      <c r="G563" s="11"/>
      <c r="H563" s="11"/>
    </row>
    <row r="564" customFormat="false" ht="23.85" hidden="false" customHeight="false" outlineLevel="0" collapsed="false">
      <c r="A564" s="10" t="s">
        <v>34</v>
      </c>
      <c r="B564" s="10" t="s">
        <v>2141</v>
      </c>
      <c r="C564" s="10" t="s">
        <v>2142</v>
      </c>
      <c r="D564" s="10" t="s">
        <v>2143</v>
      </c>
      <c r="E564" s="10" t="s">
        <v>2144</v>
      </c>
      <c r="F564" s="10"/>
      <c r="G564" s="11"/>
      <c r="H564" s="11"/>
    </row>
    <row r="565" customFormat="false" ht="23.85" hidden="false" customHeight="false" outlineLevel="0" collapsed="false">
      <c r="A565" s="10" t="s">
        <v>34</v>
      </c>
      <c r="B565" s="10" t="s">
        <v>2145</v>
      </c>
      <c r="C565" s="10" t="s">
        <v>2146</v>
      </c>
      <c r="D565" s="10" t="s">
        <v>2147</v>
      </c>
      <c r="E565" s="10" t="s">
        <v>2148</v>
      </c>
      <c r="F565" s="10"/>
      <c r="G565" s="11"/>
      <c r="H565" s="11"/>
    </row>
    <row r="566" customFormat="false" ht="15" hidden="false" customHeight="false" outlineLevel="0" collapsed="false">
      <c r="A566" s="10" t="s">
        <v>34</v>
      </c>
      <c r="B566" s="10" t="s">
        <v>2149</v>
      </c>
      <c r="C566" s="10" t="s">
        <v>2150</v>
      </c>
      <c r="D566" s="10" t="s">
        <v>2151</v>
      </c>
      <c r="E566" s="10" t="s">
        <v>2152</v>
      </c>
      <c r="F566" s="10"/>
      <c r="G566" s="11"/>
      <c r="H566" s="11"/>
    </row>
    <row r="567" customFormat="false" ht="23.85" hidden="false" customHeight="false" outlineLevel="0" collapsed="false">
      <c r="A567" s="10" t="s">
        <v>34</v>
      </c>
      <c r="B567" s="10" t="s">
        <v>2153</v>
      </c>
      <c r="C567" s="10" t="s">
        <v>2154</v>
      </c>
      <c r="D567" s="10" t="s">
        <v>2155</v>
      </c>
      <c r="E567" s="10" t="s">
        <v>2156</v>
      </c>
      <c r="F567" s="10"/>
      <c r="G567" s="11"/>
      <c r="H567" s="11"/>
    </row>
    <row r="568" customFormat="false" ht="15" hidden="false" customHeight="false" outlineLevel="0" collapsed="false">
      <c r="A568" s="10" t="s">
        <v>34</v>
      </c>
      <c r="B568" s="10" t="s">
        <v>2157</v>
      </c>
      <c r="C568" s="10" t="s">
        <v>2158</v>
      </c>
      <c r="D568" s="10" t="s">
        <v>2159</v>
      </c>
      <c r="E568" s="10" t="s">
        <v>2160</v>
      </c>
      <c r="F568" s="10"/>
      <c r="G568" s="11"/>
      <c r="H568" s="11"/>
    </row>
    <row r="569" customFormat="false" ht="15" hidden="false" customHeight="false" outlineLevel="0" collapsed="false">
      <c r="A569" s="10" t="s">
        <v>34</v>
      </c>
      <c r="B569" s="10" t="s">
        <v>2161</v>
      </c>
      <c r="C569" s="10" t="s">
        <v>2150</v>
      </c>
      <c r="D569" s="10" t="s">
        <v>2162</v>
      </c>
      <c r="E569" s="10" t="s">
        <v>2163</v>
      </c>
      <c r="F569" s="10"/>
      <c r="G569" s="11"/>
      <c r="H569" s="11"/>
    </row>
    <row r="570" customFormat="false" ht="23.85" hidden="false" customHeight="false" outlineLevel="0" collapsed="false">
      <c r="A570" s="10" t="s">
        <v>34</v>
      </c>
      <c r="B570" s="10" t="s">
        <v>2164</v>
      </c>
      <c r="C570" s="10" t="s">
        <v>2165</v>
      </c>
      <c r="D570" s="10" t="s">
        <v>2166</v>
      </c>
      <c r="E570" s="10" t="s">
        <v>2167</v>
      </c>
      <c r="F570" s="10"/>
      <c r="G570" s="11"/>
      <c r="H570" s="11"/>
    </row>
    <row r="571" customFormat="false" ht="23.85" hidden="false" customHeight="false" outlineLevel="0" collapsed="false">
      <c r="A571" s="10" t="s">
        <v>34</v>
      </c>
      <c r="B571" s="10" t="s">
        <v>2168</v>
      </c>
      <c r="C571" s="10" t="s">
        <v>2169</v>
      </c>
      <c r="D571" s="10" t="s">
        <v>2170</v>
      </c>
      <c r="E571" s="10" t="s">
        <v>2171</v>
      </c>
      <c r="F571" s="10"/>
      <c r="G571" s="11"/>
      <c r="H571" s="11"/>
    </row>
    <row r="572" customFormat="false" ht="23.85" hidden="false" customHeight="false" outlineLevel="0" collapsed="false">
      <c r="A572" s="10" t="s">
        <v>34</v>
      </c>
      <c r="B572" s="10" t="s">
        <v>2172</v>
      </c>
      <c r="C572" s="10" t="s">
        <v>2154</v>
      </c>
      <c r="D572" s="10" t="s">
        <v>2173</v>
      </c>
      <c r="E572" s="10" t="s">
        <v>2174</v>
      </c>
      <c r="F572" s="10"/>
      <c r="G572" s="11"/>
      <c r="H572" s="11"/>
    </row>
    <row r="573" customFormat="false" ht="15" hidden="false" customHeight="false" outlineLevel="0" collapsed="false">
      <c r="A573" s="10" t="s">
        <v>34</v>
      </c>
      <c r="B573" s="10" t="s">
        <v>2175</v>
      </c>
      <c r="C573" s="10" t="s">
        <v>2165</v>
      </c>
      <c r="D573" s="10" t="s">
        <v>2176</v>
      </c>
      <c r="E573" s="10" t="s">
        <v>2177</v>
      </c>
      <c r="F573" s="10"/>
      <c r="G573" s="11"/>
      <c r="H573" s="11"/>
    </row>
    <row r="574" customFormat="false" ht="15" hidden="false" customHeight="false" outlineLevel="0" collapsed="false">
      <c r="A574" s="10" t="s">
        <v>34</v>
      </c>
      <c r="B574" s="10" t="s">
        <v>2178</v>
      </c>
      <c r="C574" s="10" t="s">
        <v>2154</v>
      </c>
      <c r="D574" s="10" t="s">
        <v>2179</v>
      </c>
      <c r="E574" s="10" t="s">
        <v>2180</v>
      </c>
      <c r="F574" s="10"/>
      <c r="G574" s="11"/>
      <c r="H574" s="11"/>
    </row>
    <row r="575" customFormat="false" ht="23.85" hidden="false" customHeight="false" outlineLevel="0" collapsed="false">
      <c r="A575" s="10" t="s">
        <v>34</v>
      </c>
      <c r="B575" s="10" t="s">
        <v>2181</v>
      </c>
      <c r="C575" s="10" t="s">
        <v>2182</v>
      </c>
      <c r="D575" s="10" t="s">
        <v>2183</v>
      </c>
      <c r="E575" s="10" t="s">
        <v>2184</v>
      </c>
      <c r="F575" s="10"/>
      <c r="G575" s="11"/>
      <c r="H575" s="11"/>
    </row>
    <row r="576" customFormat="false" ht="15" hidden="false" customHeight="false" outlineLevel="0" collapsed="false">
      <c r="A576" s="10" t="s">
        <v>34</v>
      </c>
      <c r="B576" s="10" t="s">
        <v>2185</v>
      </c>
      <c r="C576" s="10" t="s">
        <v>2150</v>
      </c>
      <c r="D576" s="10" t="s">
        <v>2186</v>
      </c>
      <c r="E576" s="10" t="s">
        <v>2187</v>
      </c>
      <c r="F576" s="10"/>
      <c r="G576" s="11"/>
      <c r="H576" s="11"/>
    </row>
    <row r="577" customFormat="false" ht="23.85" hidden="false" customHeight="false" outlineLevel="0" collapsed="false">
      <c r="A577" s="10" t="s">
        <v>34</v>
      </c>
      <c r="B577" s="10" t="s">
        <v>2188</v>
      </c>
      <c r="C577" s="10" t="s">
        <v>2189</v>
      </c>
      <c r="D577" s="10" t="s">
        <v>2190</v>
      </c>
      <c r="E577" s="10" t="s">
        <v>2191</v>
      </c>
      <c r="F577" s="10"/>
      <c r="G577" s="11"/>
      <c r="H577" s="11"/>
    </row>
    <row r="578" customFormat="false" ht="15" hidden="false" customHeight="false" outlineLevel="0" collapsed="false">
      <c r="A578" s="10" t="s">
        <v>34</v>
      </c>
      <c r="B578" s="10" t="s">
        <v>2192</v>
      </c>
      <c r="C578" s="10" t="s">
        <v>2154</v>
      </c>
      <c r="D578" s="10" t="s">
        <v>2193</v>
      </c>
      <c r="E578" s="10" t="s">
        <v>2194</v>
      </c>
      <c r="F578" s="10"/>
      <c r="G578" s="11"/>
      <c r="H578" s="11"/>
    </row>
    <row r="579" customFormat="false" ht="15" hidden="false" customHeight="false" outlineLevel="0" collapsed="false">
      <c r="A579" s="10" t="s">
        <v>34</v>
      </c>
      <c r="B579" s="10" t="s">
        <v>2195</v>
      </c>
      <c r="C579" s="10" t="s">
        <v>2154</v>
      </c>
      <c r="D579" s="10" t="s">
        <v>2196</v>
      </c>
      <c r="E579" s="10" t="s">
        <v>2197</v>
      </c>
      <c r="F579" s="10"/>
      <c r="G579" s="11"/>
      <c r="H579" s="11"/>
    </row>
    <row r="580" customFormat="false" ht="15" hidden="false" customHeight="false" outlineLevel="0" collapsed="false">
      <c r="A580" s="10" t="s">
        <v>34</v>
      </c>
      <c r="B580" s="10" t="s">
        <v>2198</v>
      </c>
      <c r="C580" s="10" t="s">
        <v>2150</v>
      </c>
      <c r="D580" s="10" t="s">
        <v>2199</v>
      </c>
      <c r="E580" s="10" t="s">
        <v>2200</v>
      </c>
      <c r="F580" s="10"/>
      <c r="G580" s="11"/>
      <c r="H580" s="11"/>
    </row>
    <row r="581" customFormat="false" ht="23.85" hidden="false" customHeight="false" outlineLevel="0" collapsed="false">
      <c r="A581" s="10" t="s">
        <v>34</v>
      </c>
      <c r="B581" s="10" t="s">
        <v>2201</v>
      </c>
      <c r="C581" s="10" t="s">
        <v>2146</v>
      </c>
      <c r="D581" s="10" t="s">
        <v>2202</v>
      </c>
      <c r="E581" s="10" t="s">
        <v>2203</v>
      </c>
      <c r="F581" s="10"/>
      <c r="G581" s="11"/>
      <c r="H581" s="11"/>
    </row>
    <row r="582" customFormat="false" ht="15" hidden="false" customHeight="false" outlineLevel="0" collapsed="false">
      <c r="A582" s="10" t="s">
        <v>34</v>
      </c>
      <c r="B582" s="10" t="s">
        <v>2204</v>
      </c>
      <c r="C582" s="10" t="s">
        <v>2165</v>
      </c>
      <c r="D582" s="10" t="s">
        <v>2205</v>
      </c>
      <c r="E582" s="10" t="s">
        <v>2206</v>
      </c>
      <c r="F582" s="10"/>
      <c r="G582" s="11"/>
      <c r="H582" s="11"/>
    </row>
    <row r="583" customFormat="false" ht="15" hidden="false" customHeight="false" outlineLevel="0" collapsed="false">
      <c r="A583" s="10" t="s">
        <v>34</v>
      </c>
      <c r="B583" s="10" t="s">
        <v>2207</v>
      </c>
      <c r="C583" s="10" t="s">
        <v>2154</v>
      </c>
      <c r="D583" s="10" t="s">
        <v>2208</v>
      </c>
      <c r="E583" s="10" t="s">
        <v>2209</v>
      </c>
      <c r="F583" s="10"/>
      <c r="G583" s="11"/>
      <c r="H583" s="11"/>
    </row>
    <row r="584" customFormat="false" ht="15" hidden="false" customHeight="false" outlineLevel="0" collapsed="false">
      <c r="A584" s="10" t="s">
        <v>34</v>
      </c>
      <c r="B584" s="10" t="s">
        <v>2210</v>
      </c>
      <c r="C584" s="10" t="s">
        <v>2142</v>
      </c>
      <c r="D584" s="10" t="s">
        <v>2211</v>
      </c>
      <c r="E584" s="10" t="s">
        <v>2212</v>
      </c>
      <c r="F584" s="10"/>
      <c r="G584" s="11"/>
      <c r="H584" s="11"/>
    </row>
    <row r="585" customFormat="false" ht="15" hidden="false" customHeight="false" outlineLevel="0" collapsed="false">
      <c r="A585" s="10" t="s">
        <v>34</v>
      </c>
      <c r="B585" s="10" t="s">
        <v>2213</v>
      </c>
      <c r="C585" s="10" t="s">
        <v>2154</v>
      </c>
      <c r="D585" s="10" t="s">
        <v>2214</v>
      </c>
      <c r="E585" s="10" t="s">
        <v>2215</v>
      </c>
      <c r="F585" s="10"/>
      <c r="G585" s="11"/>
      <c r="H585" s="11"/>
    </row>
    <row r="586" customFormat="false" ht="15" hidden="false" customHeight="false" outlineLevel="0" collapsed="false">
      <c r="A586" s="10" t="s">
        <v>34</v>
      </c>
      <c r="B586" s="10" t="s">
        <v>2216</v>
      </c>
      <c r="C586" s="10" t="s">
        <v>2154</v>
      </c>
      <c r="D586" s="10" t="s">
        <v>2217</v>
      </c>
      <c r="E586" s="10" t="s">
        <v>2218</v>
      </c>
      <c r="F586" s="10"/>
      <c r="G586" s="11"/>
      <c r="H586" s="11"/>
    </row>
    <row r="587" customFormat="false" ht="15" hidden="false" customHeight="false" outlineLevel="0" collapsed="false">
      <c r="A587" s="10" t="s">
        <v>34</v>
      </c>
      <c r="B587" s="10" t="s">
        <v>2219</v>
      </c>
      <c r="C587" s="10" t="s">
        <v>2154</v>
      </c>
      <c r="D587" s="10" t="s">
        <v>2220</v>
      </c>
      <c r="E587" s="10" t="s">
        <v>2221</v>
      </c>
      <c r="F587" s="10"/>
      <c r="G587" s="11"/>
      <c r="H587" s="11"/>
    </row>
    <row r="588" customFormat="false" ht="15" hidden="false" customHeight="false" outlineLevel="0" collapsed="false">
      <c r="A588" s="10" t="s">
        <v>34</v>
      </c>
      <c r="B588" s="10" t="s">
        <v>2222</v>
      </c>
      <c r="C588" s="10" t="s">
        <v>2154</v>
      </c>
      <c r="D588" s="10" t="s">
        <v>2223</v>
      </c>
      <c r="E588" s="10" t="s">
        <v>2224</v>
      </c>
      <c r="F588" s="10"/>
      <c r="G588" s="11"/>
      <c r="H588" s="11"/>
    </row>
    <row r="589" customFormat="false" ht="15" hidden="false" customHeight="false" outlineLevel="0" collapsed="false">
      <c r="A589" s="10" t="s">
        <v>34</v>
      </c>
      <c r="B589" s="10" t="s">
        <v>2225</v>
      </c>
      <c r="C589" s="10" t="s">
        <v>2165</v>
      </c>
      <c r="D589" s="10" t="s">
        <v>2226</v>
      </c>
      <c r="E589" s="10" t="s">
        <v>2227</v>
      </c>
      <c r="F589" s="10"/>
      <c r="G589" s="11"/>
      <c r="H589" s="11"/>
    </row>
    <row r="590" customFormat="false" ht="15" hidden="false" customHeight="false" outlineLevel="0" collapsed="false">
      <c r="A590" s="10" t="s">
        <v>34</v>
      </c>
      <c r="B590" s="10" t="s">
        <v>2228</v>
      </c>
      <c r="C590" s="10" t="s">
        <v>2165</v>
      </c>
      <c r="D590" s="10" t="s">
        <v>2229</v>
      </c>
      <c r="E590" s="10" t="s">
        <v>2230</v>
      </c>
      <c r="F590" s="10"/>
      <c r="G590" s="11"/>
      <c r="H590" s="11"/>
    </row>
    <row r="591" customFormat="false" ht="23.85" hidden="false" customHeight="false" outlineLevel="0" collapsed="false">
      <c r="A591" s="10" t="s">
        <v>34</v>
      </c>
      <c r="B591" s="10" t="s">
        <v>2231</v>
      </c>
      <c r="C591" s="10" t="s">
        <v>2154</v>
      </c>
      <c r="D591" s="10" t="s">
        <v>2232</v>
      </c>
      <c r="E591" s="10" t="s">
        <v>2233</v>
      </c>
      <c r="F591" s="10"/>
      <c r="G591" s="11"/>
      <c r="H591" s="11"/>
    </row>
    <row r="592" customFormat="false" ht="23.85" hidden="false" customHeight="false" outlineLevel="0" collapsed="false">
      <c r="A592" s="10" t="s">
        <v>34</v>
      </c>
      <c r="B592" s="10" t="s">
        <v>2234</v>
      </c>
      <c r="C592" s="10" t="s">
        <v>2154</v>
      </c>
      <c r="D592" s="10" t="s">
        <v>2235</v>
      </c>
      <c r="E592" s="10" t="s">
        <v>2236</v>
      </c>
      <c r="F592" s="10"/>
      <c r="G592" s="11"/>
      <c r="H592" s="11"/>
    </row>
    <row r="593" customFormat="false" ht="15" hidden="false" customHeight="false" outlineLevel="0" collapsed="false">
      <c r="A593" s="10" t="s">
        <v>34</v>
      </c>
      <c r="B593" s="10" t="s">
        <v>2237</v>
      </c>
      <c r="C593" s="10" t="s">
        <v>2154</v>
      </c>
      <c r="D593" s="10" t="s">
        <v>2238</v>
      </c>
      <c r="E593" s="10" t="s">
        <v>2239</v>
      </c>
      <c r="F593" s="10"/>
      <c r="G593" s="11"/>
      <c r="H593" s="11"/>
    </row>
    <row r="594" customFormat="false" ht="23.85" hidden="false" customHeight="false" outlineLevel="0" collapsed="false">
      <c r="A594" s="10" t="s">
        <v>34</v>
      </c>
      <c r="B594" s="10" t="s">
        <v>2240</v>
      </c>
      <c r="C594" s="10" t="s">
        <v>2182</v>
      </c>
      <c r="D594" s="10" t="s">
        <v>2241</v>
      </c>
      <c r="E594" s="10" t="s">
        <v>2242</v>
      </c>
      <c r="F594" s="10"/>
      <c r="G594" s="11"/>
      <c r="H594" s="11"/>
    </row>
    <row r="595" customFormat="false" ht="15" hidden="false" customHeight="false" outlineLevel="0" collapsed="false">
      <c r="A595" s="10" t="s">
        <v>34</v>
      </c>
      <c r="B595" s="10" t="s">
        <v>2243</v>
      </c>
      <c r="C595" s="10" t="s">
        <v>2154</v>
      </c>
      <c r="D595" s="10" t="s">
        <v>2244</v>
      </c>
      <c r="E595" s="10" t="s">
        <v>2245</v>
      </c>
      <c r="F595" s="10"/>
      <c r="G595" s="11"/>
      <c r="H595" s="11"/>
    </row>
    <row r="596" customFormat="false" ht="23.85" hidden="false" customHeight="false" outlineLevel="0" collapsed="false">
      <c r="A596" s="10" t="s">
        <v>34</v>
      </c>
      <c r="B596" s="10" t="s">
        <v>2246</v>
      </c>
      <c r="C596" s="10" t="s">
        <v>2165</v>
      </c>
      <c r="D596" s="10" t="s">
        <v>2247</v>
      </c>
      <c r="E596" s="10" t="s">
        <v>2248</v>
      </c>
      <c r="F596" s="10"/>
      <c r="G596" s="11"/>
      <c r="H596" s="11"/>
    </row>
    <row r="597" customFormat="false" ht="15" hidden="false" customHeight="false" outlineLevel="0" collapsed="false">
      <c r="A597" s="10" t="s">
        <v>34</v>
      </c>
      <c r="B597" s="10" t="s">
        <v>2249</v>
      </c>
      <c r="C597" s="10" t="s">
        <v>2154</v>
      </c>
      <c r="D597" s="10" t="s">
        <v>2250</v>
      </c>
      <c r="E597" s="10" t="s">
        <v>2251</v>
      </c>
      <c r="F597" s="10"/>
      <c r="G597" s="11"/>
      <c r="H597" s="11"/>
    </row>
    <row r="598" customFormat="false" ht="23.85" hidden="false" customHeight="false" outlineLevel="0" collapsed="false">
      <c r="A598" s="10" t="s">
        <v>34</v>
      </c>
      <c r="B598" s="10" t="s">
        <v>2252</v>
      </c>
      <c r="C598" s="10" t="s">
        <v>2165</v>
      </c>
      <c r="D598" s="10" t="s">
        <v>2253</v>
      </c>
      <c r="E598" s="10" t="s">
        <v>2254</v>
      </c>
      <c r="F598" s="10"/>
      <c r="G598" s="11"/>
      <c r="H598" s="11"/>
    </row>
    <row r="599" customFormat="false" ht="23.85" hidden="false" customHeight="false" outlineLevel="0" collapsed="false">
      <c r="A599" s="10" t="s">
        <v>34</v>
      </c>
      <c r="B599" s="10" t="s">
        <v>2255</v>
      </c>
      <c r="C599" s="10" t="s">
        <v>2165</v>
      </c>
      <c r="D599" s="10" t="s">
        <v>2256</v>
      </c>
      <c r="E599" s="10" t="s">
        <v>2257</v>
      </c>
      <c r="F599" s="10"/>
      <c r="G599" s="11"/>
      <c r="H599" s="11"/>
    </row>
    <row r="600" customFormat="false" ht="15" hidden="false" customHeight="false" outlineLevel="0" collapsed="false">
      <c r="A600" s="10" t="s">
        <v>34</v>
      </c>
      <c r="B600" s="10" t="s">
        <v>2258</v>
      </c>
      <c r="C600" s="10" t="s">
        <v>2154</v>
      </c>
      <c r="D600" s="10" t="s">
        <v>2259</v>
      </c>
      <c r="E600" s="10" t="s">
        <v>2260</v>
      </c>
      <c r="F600" s="10"/>
      <c r="G600" s="11"/>
      <c r="H600" s="11"/>
    </row>
    <row r="601" customFormat="false" ht="15" hidden="false" customHeight="false" outlineLevel="0" collapsed="false">
      <c r="A601" s="10" t="s">
        <v>34</v>
      </c>
      <c r="B601" s="10" t="s">
        <v>2261</v>
      </c>
      <c r="C601" s="10" t="s">
        <v>2165</v>
      </c>
      <c r="D601" s="10" t="s">
        <v>2262</v>
      </c>
      <c r="E601" s="10" t="s">
        <v>2263</v>
      </c>
      <c r="F601" s="10"/>
      <c r="G601" s="11"/>
      <c r="H601" s="11"/>
    </row>
    <row r="602" customFormat="false" ht="15" hidden="false" customHeight="false" outlineLevel="0" collapsed="false">
      <c r="A602" s="10" t="s">
        <v>34</v>
      </c>
      <c r="B602" s="10" t="s">
        <v>2264</v>
      </c>
      <c r="C602" s="10" t="s">
        <v>2154</v>
      </c>
      <c r="D602" s="10" t="s">
        <v>2265</v>
      </c>
      <c r="E602" s="10" t="s">
        <v>2266</v>
      </c>
      <c r="F602" s="10"/>
      <c r="G602" s="11"/>
      <c r="H602" s="11"/>
    </row>
    <row r="603" customFormat="false" ht="23.85" hidden="false" customHeight="false" outlineLevel="0" collapsed="false">
      <c r="A603" s="10" t="s">
        <v>34</v>
      </c>
      <c r="B603" s="10" t="s">
        <v>2267</v>
      </c>
      <c r="C603" s="10" t="s">
        <v>2165</v>
      </c>
      <c r="D603" s="10" t="s">
        <v>2268</v>
      </c>
      <c r="E603" s="10" t="s">
        <v>2269</v>
      </c>
      <c r="F603" s="10"/>
      <c r="G603" s="11"/>
      <c r="H603" s="11"/>
    </row>
    <row r="604" customFormat="false" ht="15" hidden="false" customHeight="false" outlineLevel="0" collapsed="false">
      <c r="A604" s="10" t="s">
        <v>34</v>
      </c>
      <c r="B604" s="10" t="s">
        <v>2270</v>
      </c>
      <c r="C604" s="10" t="s">
        <v>2150</v>
      </c>
      <c r="D604" s="10" t="s">
        <v>2271</v>
      </c>
      <c r="E604" s="10" t="s">
        <v>2272</v>
      </c>
      <c r="F604" s="10"/>
      <c r="G604" s="11"/>
      <c r="H604" s="11"/>
    </row>
    <row r="605" customFormat="false" ht="15" hidden="false" customHeight="false" outlineLevel="0" collapsed="false">
      <c r="A605" s="10" t="s">
        <v>34</v>
      </c>
      <c r="B605" s="10" t="s">
        <v>2273</v>
      </c>
      <c r="C605" s="10" t="s">
        <v>2142</v>
      </c>
      <c r="D605" s="10" t="s">
        <v>2274</v>
      </c>
      <c r="E605" s="10" t="s">
        <v>2275</v>
      </c>
      <c r="F605" s="10"/>
      <c r="G605" s="11"/>
      <c r="H605" s="11"/>
    </row>
    <row r="606" customFormat="false" ht="23.85" hidden="false" customHeight="false" outlineLevel="0" collapsed="false">
      <c r="A606" s="10" t="s">
        <v>34</v>
      </c>
      <c r="B606" s="10" t="s">
        <v>2276</v>
      </c>
      <c r="C606" s="10" t="s">
        <v>2165</v>
      </c>
      <c r="D606" s="10" t="s">
        <v>2277</v>
      </c>
      <c r="E606" s="10" t="s">
        <v>2278</v>
      </c>
      <c r="F606" s="10"/>
      <c r="G606" s="11"/>
      <c r="H606" s="11"/>
    </row>
    <row r="607" customFormat="false" ht="15" hidden="false" customHeight="false" outlineLevel="0" collapsed="false">
      <c r="A607" s="10" t="s">
        <v>34</v>
      </c>
      <c r="B607" s="10" t="s">
        <v>2279</v>
      </c>
      <c r="C607" s="10" t="s">
        <v>2165</v>
      </c>
      <c r="D607" s="10" t="s">
        <v>2280</v>
      </c>
      <c r="E607" s="10" t="s">
        <v>2281</v>
      </c>
      <c r="F607" s="10"/>
      <c r="G607" s="11"/>
      <c r="H607" s="11"/>
    </row>
    <row r="608" customFormat="false" ht="23.85" hidden="false" customHeight="false" outlineLevel="0" collapsed="false">
      <c r="A608" s="10" t="s">
        <v>34</v>
      </c>
      <c r="B608" s="10" t="s">
        <v>2282</v>
      </c>
      <c r="C608" s="10" t="s">
        <v>2146</v>
      </c>
      <c r="D608" s="10" t="s">
        <v>2283</v>
      </c>
      <c r="E608" s="10" t="s">
        <v>2284</v>
      </c>
      <c r="F608" s="10"/>
      <c r="G608" s="11"/>
      <c r="H608" s="11"/>
    </row>
    <row r="609" customFormat="false" ht="23.85" hidden="false" customHeight="false" outlineLevel="0" collapsed="false">
      <c r="A609" s="10" t="s">
        <v>34</v>
      </c>
      <c r="B609" s="10" t="s">
        <v>2285</v>
      </c>
      <c r="C609" s="10" t="s">
        <v>2165</v>
      </c>
      <c r="D609" s="10" t="s">
        <v>2286</v>
      </c>
      <c r="E609" s="10" t="s">
        <v>2287</v>
      </c>
      <c r="F609" s="10"/>
      <c r="G609" s="11"/>
      <c r="H609" s="11"/>
    </row>
    <row r="610" customFormat="false" ht="23.85" hidden="false" customHeight="false" outlineLevel="0" collapsed="false">
      <c r="A610" s="10" t="s">
        <v>34</v>
      </c>
      <c r="B610" s="10" t="s">
        <v>2288</v>
      </c>
      <c r="C610" s="10" t="s">
        <v>2165</v>
      </c>
      <c r="D610" s="10" t="s">
        <v>2289</v>
      </c>
      <c r="E610" s="10" t="s">
        <v>2290</v>
      </c>
      <c r="F610" s="10"/>
      <c r="G610" s="11"/>
      <c r="H610" s="11"/>
    </row>
    <row r="611" customFormat="false" ht="15" hidden="false" customHeight="false" outlineLevel="0" collapsed="false">
      <c r="A611" s="10" t="s">
        <v>34</v>
      </c>
      <c r="B611" s="10" t="s">
        <v>2291</v>
      </c>
      <c r="C611" s="10" t="s">
        <v>2154</v>
      </c>
      <c r="D611" s="10" t="s">
        <v>2292</v>
      </c>
      <c r="E611" s="10" t="s">
        <v>2293</v>
      </c>
      <c r="F611" s="10"/>
      <c r="G611" s="11"/>
      <c r="H611" s="11"/>
    </row>
    <row r="612" customFormat="false" ht="23.85" hidden="false" customHeight="false" outlineLevel="0" collapsed="false">
      <c r="A612" s="10" t="s">
        <v>34</v>
      </c>
      <c r="B612" s="10" t="s">
        <v>2294</v>
      </c>
      <c r="C612" s="10" t="s">
        <v>2165</v>
      </c>
      <c r="D612" s="10" t="s">
        <v>2295</v>
      </c>
      <c r="E612" s="10" t="s">
        <v>2296</v>
      </c>
      <c r="F612" s="10"/>
      <c r="G612" s="11"/>
      <c r="H612" s="11"/>
    </row>
    <row r="613" customFormat="false" ht="15" hidden="false" customHeight="false" outlineLevel="0" collapsed="false">
      <c r="A613" s="10" t="s">
        <v>34</v>
      </c>
      <c r="B613" s="10" t="s">
        <v>2297</v>
      </c>
      <c r="C613" s="10" t="s">
        <v>2154</v>
      </c>
      <c r="D613" s="10" t="s">
        <v>2298</v>
      </c>
      <c r="E613" s="10" t="s">
        <v>2299</v>
      </c>
      <c r="F613" s="10"/>
      <c r="G613" s="11"/>
      <c r="H613" s="11"/>
    </row>
    <row r="614" customFormat="false" ht="15" hidden="false" customHeight="false" outlineLevel="0" collapsed="false">
      <c r="A614" s="10" t="s">
        <v>34</v>
      </c>
      <c r="B614" s="10" t="s">
        <v>2300</v>
      </c>
      <c r="C614" s="10" t="s">
        <v>2154</v>
      </c>
      <c r="D614" s="10" t="s">
        <v>2301</v>
      </c>
      <c r="E614" s="10" t="s">
        <v>2302</v>
      </c>
      <c r="F614" s="10"/>
      <c r="G614" s="11"/>
      <c r="H614" s="11"/>
    </row>
    <row r="615" customFormat="false" ht="23.85" hidden="false" customHeight="false" outlineLevel="0" collapsed="false">
      <c r="A615" s="10" t="s">
        <v>34</v>
      </c>
      <c r="B615" s="10" t="s">
        <v>2303</v>
      </c>
      <c r="C615" s="10" t="s">
        <v>2154</v>
      </c>
      <c r="D615" s="10" t="s">
        <v>2304</v>
      </c>
      <c r="E615" s="10" t="s">
        <v>2305</v>
      </c>
      <c r="F615" s="10"/>
      <c r="G615" s="11"/>
      <c r="H615" s="11"/>
    </row>
    <row r="616" customFormat="false" ht="23.85" hidden="false" customHeight="false" outlineLevel="0" collapsed="false">
      <c r="A616" s="10" t="s">
        <v>34</v>
      </c>
      <c r="B616" s="10" t="s">
        <v>2306</v>
      </c>
      <c r="C616" s="10" t="s">
        <v>2150</v>
      </c>
      <c r="D616" s="10" t="s">
        <v>2307</v>
      </c>
      <c r="E616" s="10" t="s">
        <v>2308</v>
      </c>
      <c r="F616" s="10"/>
      <c r="G616" s="11"/>
      <c r="H616" s="11"/>
    </row>
    <row r="617" customFormat="false" ht="23.85" hidden="false" customHeight="false" outlineLevel="0" collapsed="false">
      <c r="A617" s="10" t="s">
        <v>34</v>
      </c>
      <c r="B617" s="10" t="s">
        <v>2309</v>
      </c>
      <c r="C617" s="10" t="s">
        <v>2142</v>
      </c>
      <c r="D617" s="10" t="s">
        <v>2310</v>
      </c>
      <c r="E617" s="10" t="s">
        <v>2311</v>
      </c>
      <c r="F617" s="10"/>
      <c r="G617" s="11"/>
      <c r="H617" s="11"/>
    </row>
    <row r="618" customFormat="false" ht="23.85" hidden="false" customHeight="false" outlineLevel="0" collapsed="false">
      <c r="A618" s="10" t="s">
        <v>34</v>
      </c>
      <c r="B618" s="10" t="s">
        <v>2312</v>
      </c>
      <c r="C618" s="10" t="s">
        <v>2154</v>
      </c>
      <c r="D618" s="10" t="s">
        <v>2313</v>
      </c>
      <c r="E618" s="10" t="s">
        <v>2314</v>
      </c>
      <c r="F618" s="10"/>
      <c r="G618" s="11"/>
      <c r="H618" s="11"/>
    </row>
    <row r="619" customFormat="false" ht="15" hidden="false" customHeight="false" outlineLevel="0" collapsed="false">
      <c r="A619" s="10" t="s">
        <v>34</v>
      </c>
      <c r="B619" s="10" t="s">
        <v>2315</v>
      </c>
      <c r="C619" s="10" t="s">
        <v>2316</v>
      </c>
      <c r="D619" s="10" t="s">
        <v>2317</v>
      </c>
      <c r="E619" s="10" t="s">
        <v>2318</v>
      </c>
      <c r="F619" s="10"/>
      <c r="G619" s="11"/>
      <c r="H619" s="11"/>
    </row>
    <row r="620" customFormat="false" ht="23.85" hidden="false" customHeight="false" outlineLevel="0" collapsed="false">
      <c r="A620" s="10" t="s">
        <v>34</v>
      </c>
      <c r="B620" s="10" t="s">
        <v>2319</v>
      </c>
      <c r="C620" s="10" t="s">
        <v>2165</v>
      </c>
      <c r="D620" s="10" t="s">
        <v>2320</v>
      </c>
      <c r="E620" s="10" t="s">
        <v>2321</v>
      </c>
      <c r="F620" s="10"/>
      <c r="G620" s="11"/>
      <c r="H620" s="11"/>
    </row>
    <row r="621" customFormat="false" ht="15" hidden="false" customHeight="false" outlineLevel="0" collapsed="false">
      <c r="A621" s="10" t="s">
        <v>34</v>
      </c>
      <c r="B621" s="10" t="s">
        <v>2322</v>
      </c>
      <c r="C621" s="10" t="s">
        <v>2165</v>
      </c>
      <c r="D621" s="10" t="s">
        <v>2323</v>
      </c>
      <c r="E621" s="10" t="s">
        <v>2324</v>
      </c>
      <c r="F621" s="10"/>
      <c r="G621" s="11"/>
      <c r="H621" s="11"/>
    </row>
    <row r="622" customFormat="false" ht="23.85" hidden="false" customHeight="false" outlineLevel="0" collapsed="false">
      <c r="A622" s="10" t="s">
        <v>34</v>
      </c>
      <c r="B622" s="10" t="s">
        <v>2325</v>
      </c>
      <c r="C622" s="10" t="s">
        <v>2165</v>
      </c>
      <c r="D622" s="10" t="s">
        <v>2326</v>
      </c>
      <c r="E622" s="10" t="s">
        <v>2327</v>
      </c>
      <c r="F622" s="10"/>
      <c r="G622" s="11"/>
      <c r="H622" s="11"/>
    </row>
    <row r="623" customFormat="false" ht="15" hidden="false" customHeight="false" outlineLevel="0" collapsed="false">
      <c r="A623" s="10" t="s">
        <v>34</v>
      </c>
      <c r="B623" s="10" t="s">
        <v>2328</v>
      </c>
      <c r="C623" s="10" t="s">
        <v>2154</v>
      </c>
      <c r="D623" s="10" t="s">
        <v>2329</v>
      </c>
      <c r="E623" s="10" t="s">
        <v>2330</v>
      </c>
      <c r="F623" s="10"/>
      <c r="G623" s="11"/>
      <c r="H623" s="11"/>
    </row>
    <row r="624" customFormat="false" ht="15" hidden="false" customHeight="false" outlineLevel="0" collapsed="false">
      <c r="A624" s="10" t="s">
        <v>34</v>
      </c>
      <c r="B624" s="10" t="s">
        <v>2331</v>
      </c>
      <c r="C624" s="10" t="s">
        <v>2165</v>
      </c>
      <c r="D624" s="10" t="s">
        <v>2332</v>
      </c>
      <c r="E624" s="10" t="s">
        <v>2333</v>
      </c>
      <c r="F624" s="10"/>
      <c r="G624" s="11"/>
      <c r="H624" s="11"/>
    </row>
    <row r="625" customFormat="false" ht="15" hidden="false" customHeight="false" outlineLevel="0" collapsed="false">
      <c r="A625" s="10" t="s">
        <v>34</v>
      </c>
      <c r="B625" s="10" t="s">
        <v>2334</v>
      </c>
      <c r="C625" s="10" t="s">
        <v>2165</v>
      </c>
      <c r="D625" s="10" t="s">
        <v>2335</v>
      </c>
      <c r="E625" s="10" t="s">
        <v>2336</v>
      </c>
      <c r="F625" s="10"/>
      <c r="G625" s="11"/>
      <c r="H625" s="11"/>
    </row>
    <row r="626" customFormat="false" ht="15" hidden="false" customHeight="false" outlineLevel="0" collapsed="false">
      <c r="A626" s="10" t="s">
        <v>34</v>
      </c>
      <c r="B626" s="10" t="s">
        <v>2337</v>
      </c>
      <c r="C626" s="10" t="s">
        <v>2154</v>
      </c>
      <c r="D626" s="10" t="s">
        <v>2338</v>
      </c>
      <c r="E626" s="10" t="s">
        <v>2339</v>
      </c>
      <c r="F626" s="10"/>
      <c r="G626" s="11"/>
      <c r="H626" s="11"/>
    </row>
    <row r="627" customFormat="false" ht="23.85" hidden="false" customHeight="false" outlineLevel="0" collapsed="false">
      <c r="A627" s="10" t="s">
        <v>34</v>
      </c>
      <c r="B627" s="10" t="s">
        <v>2340</v>
      </c>
      <c r="C627" s="10" t="s">
        <v>2165</v>
      </c>
      <c r="D627" s="10" t="s">
        <v>2341</v>
      </c>
      <c r="E627" s="10" t="s">
        <v>2342</v>
      </c>
      <c r="F627" s="10"/>
      <c r="G627" s="11"/>
      <c r="H627" s="11"/>
    </row>
    <row r="628" customFormat="false" ht="15" hidden="false" customHeight="false" outlineLevel="0" collapsed="false">
      <c r="A628" s="10" t="s">
        <v>34</v>
      </c>
      <c r="B628" s="10" t="s">
        <v>2343</v>
      </c>
      <c r="C628" s="10" t="s">
        <v>2165</v>
      </c>
      <c r="D628" s="10" t="s">
        <v>2344</v>
      </c>
      <c r="E628" s="10" t="s">
        <v>2345</v>
      </c>
      <c r="F628" s="10"/>
      <c r="G628" s="11"/>
      <c r="H628" s="11"/>
    </row>
    <row r="629" customFormat="false" ht="15" hidden="false" customHeight="false" outlineLevel="0" collapsed="false">
      <c r="A629" s="10" t="s">
        <v>34</v>
      </c>
      <c r="B629" s="10" t="s">
        <v>2346</v>
      </c>
      <c r="C629" s="10" t="s">
        <v>2165</v>
      </c>
      <c r="D629" s="10" t="s">
        <v>2347</v>
      </c>
      <c r="E629" s="10" t="s">
        <v>2348</v>
      </c>
      <c r="F629" s="10"/>
      <c r="G629" s="11"/>
      <c r="H629" s="11"/>
    </row>
    <row r="630" customFormat="false" ht="15" hidden="false" customHeight="false" outlineLevel="0" collapsed="false">
      <c r="A630" s="10" t="s">
        <v>34</v>
      </c>
      <c r="B630" s="10" t="s">
        <v>2349</v>
      </c>
      <c r="C630" s="10" t="s">
        <v>2154</v>
      </c>
      <c r="D630" s="10" t="s">
        <v>2350</v>
      </c>
      <c r="E630" s="10" t="s">
        <v>2351</v>
      </c>
      <c r="F630" s="10"/>
      <c r="G630" s="11"/>
      <c r="H630" s="11"/>
    </row>
    <row r="631" customFormat="false" ht="15" hidden="false" customHeight="false" outlineLevel="0" collapsed="false">
      <c r="A631" s="10" t="s">
        <v>34</v>
      </c>
      <c r="B631" s="10" t="s">
        <v>2352</v>
      </c>
      <c r="C631" s="10" t="s">
        <v>2150</v>
      </c>
      <c r="D631" s="10" t="s">
        <v>2353</v>
      </c>
      <c r="E631" s="10" t="s">
        <v>2354</v>
      </c>
      <c r="F631" s="10"/>
      <c r="G631" s="11"/>
      <c r="H631" s="11"/>
    </row>
    <row r="632" customFormat="false" ht="15" hidden="false" customHeight="false" outlineLevel="0" collapsed="false">
      <c r="A632" s="10" t="s">
        <v>34</v>
      </c>
      <c r="B632" s="10" t="s">
        <v>2355</v>
      </c>
      <c r="C632" s="10" t="s">
        <v>2142</v>
      </c>
      <c r="D632" s="10" t="s">
        <v>2356</v>
      </c>
      <c r="E632" s="10" t="s">
        <v>2357</v>
      </c>
      <c r="F632" s="10"/>
      <c r="G632" s="11"/>
      <c r="H632" s="11"/>
    </row>
    <row r="633" customFormat="false" ht="15" hidden="false" customHeight="false" outlineLevel="0" collapsed="false">
      <c r="A633" s="10" t="s">
        <v>34</v>
      </c>
      <c r="B633" s="10" t="s">
        <v>2358</v>
      </c>
      <c r="C633" s="10" t="s">
        <v>2154</v>
      </c>
      <c r="D633" s="10" t="s">
        <v>2359</v>
      </c>
      <c r="E633" s="10" t="s">
        <v>2360</v>
      </c>
      <c r="F633" s="10"/>
      <c r="G633" s="11"/>
      <c r="H633" s="11"/>
    </row>
    <row r="634" customFormat="false" ht="23.85" hidden="false" customHeight="false" outlineLevel="0" collapsed="false">
      <c r="A634" s="10" t="s">
        <v>34</v>
      </c>
      <c r="B634" s="10" t="s">
        <v>2361</v>
      </c>
      <c r="C634" s="10" t="s">
        <v>2154</v>
      </c>
      <c r="D634" s="10" t="s">
        <v>2362</v>
      </c>
      <c r="E634" s="10" t="s">
        <v>2363</v>
      </c>
      <c r="F634" s="10"/>
      <c r="G634" s="11"/>
      <c r="H634" s="11"/>
    </row>
    <row r="635" customFormat="false" ht="15" hidden="false" customHeight="false" outlineLevel="0" collapsed="false">
      <c r="A635" s="10" t="s">
        <v>34</v>
      </c>
      <c r="B635" s="10" t="s">
        <v>2364</v>
      </c>
      <c r="C635" s="10" t="s">
        <v>2154</v>
      </c>
      <c r="D635" s="10" t="s">
        <v>2365</v>
      </c>
      <c r="E635" s="10" t="s">
        <v>2366</v>
      </c>
      <c r="F635" s="10"/>
      <c r="G635" s="11"/>
      <c r="H635" s="11"/>
    </row>
    <row r="636" customFormat="false" ht="15" hidden="false" customHeight="false" outlineLevel="0" collapsed="false">
      <c r="A636" s="10" t="s">
        <v>34</v>
      </c>
      <c r="B636" s="10" t="s">
        <v>2367</v>
      </c>
      <c r="C636" s="10" t="s">
        <v>2154</v>
      </c>
      <c r="D636" s="10" t="s">
        <v>2368</v>
      </c>
      <c r="E636" s="10" t="s">
        <v>2369</v>
      </c>
      <c r="F636" s="10"/>
      <c r="G636" s="11"/>
      <c r="H636" s="11"/>
    </row>
    <row r="637" customFormat="false" ht="15" hidden="false" customHeight="false" outlineLevel="0" collapsed="false">
      <c r="A637" s="10" t="s">
        <v>34</v>
      </c>
      <c r="B637" s="10" t="s">
        <v>2370</v>
      </c>
      <c r="C637" s="10" t="s">
        <v>2154</v>
      </c>
      <c r="D637" s="10" t="s">
        <v>2371</v>
      </c>
      <c r="E637" s="10" t="s">
        <v>2372</v>
      </c>
      <c r="F637" s="10"/>
      <c r="G637" s="11"/>
      <c r="H637" s="11"/>
    </row>
    <row r="638" customFormat="false" ht="15" hidden="false" customHeight="false" outlineLevel="0" collapsed="false">
      <c r="A638" s="10" t="s">
        <v>34</v>
      </c>
      <c r="B638" s="10" t="s">
        <v>2373</v>
      </c>
      <c r="C638" s="10" t="s">
        <v>2165</v>
      </c>
      <c r="D638" s="10" t="s">
        <v>2374</v>
      </c>
      <c r="E638" s="10" t="s">
        <v>2375</v>
      </c>
      <c r="F638" s="10"/>
      <c r="G638" s="11"/>
      <c r="H638" s="11"/>
    </row>
    <row r="639" customFormat="false" ht="15" hidden="false" customHeight="false" outlineLevel="0" collapsed="false">
      <c r="A639" s="10" t="s">
        <v>34</v>
      </c>
      <c r="B639" s="10" t="s">
        <v>2376</v>
      </c>
      <c r="C639" s="10" t="s">
        <v>2154</v>
      </c>
      <c r="D639" s="10" t="s">
        <v>2377</v>
      </c>
      <c r="E639" s="10" t="s">
        <v>2378</v>
      </c>
      <c r="F639" s="10"/>
      <c r="G639" s="11"/>
      <c r="H639" s="11"/>
    </row>
    <row r="640" customFormat="false" ht="15" hidden="false" customHeight="false" outlineLevel="0" collapsed="false">
      <c r="A640" s="10" t="s">
        <v>34</v>
      </c>
      <c r="B640" s="10" t="s">
        <v>2379</v>
      </c>
      <c r="C640" s="10" t="s">
        <v>2154</v>
      </c>
      <c r="D640" s="10" t="s">
        <v>2380</v>
      </c>
      <c r="E640" s="10" t="s">
        <v>2381</v>
      </c>
      <c r="F640" s="10"/>
      <c r="G640" s="11"/>
      <c r="H640" s="11"/>
    </row>
    <row r="641" customFormat="false" ht="15" hidden="false" customHeight="false" outlineLevel="0" collapsed="false">
      <c r="A641" s="10" t="s">
        <v>34</v>
      </c>
      <c r="B641" s="10" t="s">
        <v>2382</v>
      </c>
      <c r="C641" s="10" t="s">
        <v>2165</v>
      </c>
      <c r="D641" s="10" t="s">
        <v>2383</v>
      </c>
      <c r="E641" s="10" t="s">
        <v>2384</v>
      </c>
      <c r="F641" s="10"/>
      <c r="G641" s="11"/>
      <c r="H641" s="11"/>
    </row>
    <row r="642" customFormat="false" ht="23.85" hidden="false" customHeight="false" outlineLevel="0" collapsed="false">
      <c r="A642" s="10" t="s">
        <v>34</v>
      </c>
      <c r="B642" s="10" t="s">
        <v>2385</v>
      </c>
      <c r="C642" s="10" t="s">
        <v>2165</v>
      </c>
      <c r="D642" s="10" t="s">
        <v>2386</v>
      </c>
      <c r="E642" s="10" t="s">
        <v>2387</v>
      </c>
      <c r="F642" s="10"/>
      <c r="G642" s="11"/>
      <c r="H642" s="11"/>
    </row>
    <row r="643" customFormat="false" ht="23.85" hidden="false" customHeight="false" outlineLevel="0" collapsed="false">
      <c r="A643" s="10" t="s">
        <v>34</v>
      </c>
      <c r="B643" s="10" t="s">
        <v>2388</v>
      </c>
      <c r="C643" s="10" t="s">
        <v>2154</v>
      </c>
      <c r="D643" s="10" t="s">
        <v>2389</v>
      </c>
      <c r="E643" s="10" t="s">
        <v>2390</v>
      </c>
      <c r="F643" s="10"/>
      <c r="G643" s="11"/>
      <c r="H643" s="11"/>
    </row>
    <row r="644" customFormat="false" ht="23.85" hidden="false" customHeight="false" outlineLevel="0" collapsed="false">
      <c r="A644" s="10" t="s">
        <v>34</v>
      </c>
      <c r="B644" s="10" t="s">
        <v>2391</v>
      </c>
      <c r="C644" s="10" t="s">
        <v>2154</v>
      </c>
      <c r="D644" s="10" t="s">
        <v>2392</v>
      </c>
      <c r="E644" s="10" t="s">
        <v>2393</v>
      </c>
      <c r="F644" s="10"/>
      <c r="G644" s="11"/>
      <c r="H644" s="11"/>
    </row>
    <row r="645" customFormat="false" ht="15" hidden="false" customHeight="false" outlineLevel="0" collapsed="false">
      <c r="A645" s="10" t="s">
        <v>34</v>
      </c>
      <c r="B645" s="10" t="s">
        <v>2394</v>
      </c>
      <c r="C645" s="10" t="s">
        <v>2154</v>
      </c>
      <c r="D645" s="10" t="s">
        <v>2395</v>
      </c>
      <c r="E645" s="10" t="s">
        <v>2396</v>
      </c>
      <c r="F645" s="10"/>
      <c r="G645" s="11"/>
      <c r="H645" s="11"/>
    </row>
    <row r="646" customFormat="false" ht="23.85" hidden="false" customHeight="false" outlineLevel="0" collapsed="false">
      <c r="A646" s="10" t="s">
        <v>34</v>
      </c>
      <c r="B646" s="10" t="s">
        <v>2397</v>
      </c>
      <c r="C646" s="10" t="s">
        <v>2154</v>
      </c>
      <c r="D646" s="10" t="s">
        <v>2398</v>
      </c>
      <c r="E646" s="10" t="s">
        <v>2399</v>
      </c>
      <c r="F646" s="10"/>
      <c r="G646" s="11"/>
      <c r="H646" s="11"/>
    </row>
    <row r="647" customFormat="false" ht="15" hidden="false" customHeight="false" outlineLevel="0" collapsed="false">
      <c r="A647" s="10" t="s">
        <v>34</v>
      </c>
      <c r="B647" s="10" t="s">
        <v>2400</v>
      </c>
      <c r="C647" s="10" t="s">
        <v>2165</v>
      </c>
      <c r="D647" s="10" t="s">
        <v>2401</v>
      </c>
      <c r="E647" s="10" t="s">
        <v>2402</v>
      </c>
      <c r="F647" s="10"/>
      <c r="G647" s="11"/>
      <c r="H647" s="11"/>
    </row>
    <row r="648" customFormat="false" ht="15" hidden="false" customHeight="false" outlineLevel="0" collapsed="false">
      <c r="A648" s="10" t="s">
        <v>34</v>
      </c>
      <c r="B648" s="10" t="s">
        <v>2403</v>
      </c>
      <c r="C648" s="10" t="s">
        <v>2165</v>
      </c>
      <c r="D648" s="10" t="s">
        <v>2404</v>
      </c>
      <c r="E648" s="10" t="s">
        <v>2405</v>
      </c>
      <c r="F648" s="10"/>
      <c r="G648" s="11"/>
      <c r="H648" s="11"/>
    </row>
    <row r="649" customFormat="false" ht="15" hidden="false" customHeight="false" outlineLevel="0" collapsed="false">
      <c r="A649" s="10" t="s">
        <v>34</v>
      </c>
      <c r="B649" s="10" t="s">
        <v>2406</v>
      </c>
      <c r="C649" s="10" t="s">
        <v>2165</v>
      </c>
      <c r="D649" s="10" t="s">
        <v>2407</v>
      </c>
      <c r="E649" s="10" t="s">
        <v>2408</v>
      </c>
      <c r="F649" s="10"/>
      <c r="G649" s="11"/>
      <c r="H649" s="11"/>
    </row>
    <row r="650" customFormat="false" ht="23.85" hidden="false" customHeight="false" outlineLevel="0" collapsed="false">
      <c r="A650" s="10" t="s">
        <v>34</v>
      </c>
      <c r="B650" s="10" t="s">
        <v>2409</v>
      </c>
      <c r="C650" s="10" t="s">
        <v>2150</v>
      </c>
      <c r="D650" s="10" t="s">
        <v>2410</v>
      </c>
      <c r="E650" s="10" t="s">
        <v>2411</v>
      </c>
      <c r="F650" s="10"/>
      <c r="G650" s="11"/>
      <c r="H650" s="11"/>
    </row>
    <row r="651" customFormat="false" ht="15" hidden="false" customHeight="false" outlineLevel="0" collapsed="false">
      <c r="A651" s="10" t="s">
        <v>34</v>
      </c>
      <c r="B651" s="10" t="s">
        <v>2412</v>
      </c>
      <c r="C651" s="10" t="s">
        <v>2142</v>
      </c>
      <c r="D651" s="10" t="s">
        <v>2413</v>
      </c>
      <c r="E651" s="10" t="s">
        <v>2414</v>
      </c>
      <c r="F651" s="10"/>
      <c r="G651" s="11"/>
      <c r="H651" s="11"/>
    </row>
    <row r="652" customFormat="false" ht="23.85" hidden="false" customHeight="false" outlineLevel="0" collapsed="false">
      <c r="A652" s="10" t="s">
        <v>34</v>
      </c>
      <c r="B652" s="10" t="s">
        <v>2415</v>
      </c>
      <c r="C652" s="10" t="s">
        <v>2154</v>
      </c>
      <c r="D652" s="10" t="s">
        <v>2416</v>
      </c>
      <c r="E652" s="10" t="s">
        <v>2417</v>
      </c>
      <c r="F652" s="10"/>
      <c r="G652" s="11"/>
      <c r="H652" s="11"/>
    </row>
    <row r="653" customFormat="false" ht="15" hidden="false" customHeight="false" outlineLevel="0" collapsed="false">
      <c r="A653" s="10" t="s">
        <v>34</v>
      </c>
      <c r="B653" s="10" t="s">
        <v>2418</v>
      </c>
      <c r="C653" s="10" t="s">
        <v>2154</v>
      </c>
      <c r="D653" s="10" t="s">
        <v>2419</v>
      </c>
      <c r="E653" s="10" t="s">
        <v>2420</v>
      </c>
      <c r="F653" s="10"/>
      <c r="G653" s="11"/>
      <c r="H653" s="11"/>
    </row>
    <row r="654" customFormat="false" ht="15" hidden="false" customHeight="false" outlineLevel="0" collapsed="false">
      <c r="A654" s="10" t="s">
        <v>34</v>
      </c>
      <c r="B654" s="10" t="s">
        <v>2421</v>
      </c>
      <c r="C654" s="10" t="s">
        <v>2142</v>
      </c>
      <c r="D654" s="10" t="s">
        <v>2422</v>
      </c>
      <c r="E654" s="10" t="s">
        <v>2423</v>
      </c>
      <c r="F654" s="10"/>
      <c r="G654" s="11"/>
      <c r="H654" s="11"/>
    </row>
    <row r="655" customFormat="false" ht="23.85" hidden="false" customHeight="false" outlineLevel="0" collapsed="false">
      <c r="A655" s="10" t="s">
        <v>34</v>
      </c>
      <c r="B655" s="10" t="s">
        <v>2424</v>
      </c>
      <c r="C655" s="10" t="s">
        <v>2189</v>
      </c>
      <c r="D655" s="10" t="s">
        <v>2425</v>
      </c>
      <c r="E655" s="10" t="s">
        <v>2426</v>
      </c>
      <c r="F655" s="10"/>
      <c r="G655" s="11"/>
      <c r="H655" s="11"/>
    </row>
    <row r="656" customFormat="false" ht="15" hidden="false" customHeight="false" outlineLevel="0" collapsed="false">
      <c r="A656" s="10" t="s">
        <v>34</v>
      </c>
      <c r="B656" s="10" t="s">
        <v>2427</v>
      </c>
      <c r="C656" s="10" t="s">
        <v>2165</v>
      </c>
      <c r="D656" s="10" t="s">
        <v>2428</v>
      </c>
      <c r="E656" s="10" t="s">
        <v>2429</v>
      </c>
      <c r="F656" s="10"/>
      <c r="G656" s="11"/>
      <c r="H656" s="11"/>
    </row>
    <row r="657" customFormat="false" ht="15" hidden="false" customHeight="false" outlineLevel="0" collapsed="false">
      <c r="A657" s="10" t="s">
        <v>34</v>
      </c>
      <c r="B657" s="10" t="s">
        <v>2430</v>
      </c>
      <c r="C657" s="10" t="s">
        <v>2150</v>
      </c>
      <c r="D657" s="10" t="s">
        <v>2431</v>
      </c>
      <c r="E657" s="10" t="s">
        <v>2432</v>
      </c>
      <c r="F657" s="10"/>
      <c r="G657" s="11"/>
      <c r="H657" s="11"/>
    </row>
    <row r="658" customFormat="false" ht="23.85" hidden="false" customHeight="false" outlineLevel="0" collapsed="false">
      <c r="A658" s="10" t="s">
        <v>34</v>
      </c>
      <c r="B658" s="10" t="s">
        <v>2433</v>
      </c>
      <c r="C658" s="10" t="s">
        <v>2154</v>
      </c>
      <c r="D658" s="10" t="s">
        <v>2434</v>
      </c>
      <c r="E658" s="10" t="s">
        <v>2435</v>
      </c>
      <c r="F658" s="10"/>
      <c r="G658" s="11"/>
      <c r="H658" s="11"/>
    </row>
    <row r="659" customFormat="false" ht="23.85" hidden="false" customHeight="false" outlineLevel="0" collapsed="false">
      <c r="A659" s="10" t="s">
        <v>34</v>
      </c>
      <c r="B659" s="10" t="s">
        <v>2436</v>
      </c>
      <c r="C659" s="10" t="s">
        <v>2437</v>
      </c>
      <c r="D659" s="10" t="s">
        <v>2438</v>
      </c>
      <c r="E659" s="10" t="s">
        <v>2439</v>
      </c>
      <c r="F659" s="10"/>
      <c r="G659" s="11"/>
      <c r="H659" s="11"/>
    </row>
    <row r="660" customFormat="false" ht="15" hidden="false" customHeight="false" outlineLevel="0" collapsed="false">
      <c r="A660" s="10" t="s">
        <v>34</v>
      </c>
      <c r="B660" s="10" t="s">
        <v>2440</v>
      </c>
      <c r="C660" s="10" t="s">
        <v>2150</v>
      </c>
      <c r="D660" s="10" t="s">
        <v>2441</v>
      </c>
      <c r="E660" s="10" t="s">
        <v>2442</v>
      </c>
      <c r="F660" s="10"/>
      <c r="G660" s="11"/>
      <c r="H660" s="11"/>
    </row>
    <row r="661" customFormat="false" ht="23.85" hidden="false" customHeight="false" outlineLevel="0" collapsed="false">
      <c r="A661" s="10" t="s">
        <v>34</v>
      </c>
      <c r="B661" s="10" t="s">
        <v>2443</v>
      </c>
      <c r="C661" s="10" t="s">
        <v>2189</v>
      </c>
      <c r="D661" s="10" t="s">
        <v>2444</v>
      </c>
      <c r="E661" s="10" t="s">
        <v>2445</v>
      </c>
      <c r="F661" s="10"/>
      <c r="G661" s="11"/>
      <c r="H661" s="11"/>
    </row>
    <row r="662" customFormat="false" ht="15" hidden="false" customHeight="false" outlineLevel="0" collapsed="false">
      <c r="A662" s="10" t="s">
        <v>34</v>
      </c>
      <c r="B662" s="10" t="s">
        <v>2446</v>
      </c>
      <c r="C662" s="10" t="s">
        <v>2154</v>
      </c>
      <c r="D662" s="10" t="s">
        <v>2447</v>
      </c>
      <c r="E662" s="10" t="s">
        <v>2448</v>
      </c>
      <c r="F662" s="10"/>
      <c r="G662" s="11"/>
      <c r="H662" s="11"/>
    </row>
    <row r="663" customFormat="false" ht="15" hidden="false" customHeight="false" outlineLevel="0" collapsed="false">
      <c r="A663" s="10" t="s">
        <v>34</v>
      </c>
      <c r="B663" s="10" t="s">
        <v>2449</v>
      </c>
      <c r="C663" s="10" t="s">
        <v>2154</v>
      </c>
      <c r="D663" s="10" t="s">
        <v>2450</v>
      </c>
      <c r="E663" s="10" t="s">
        <v>2451</v>
      </c>
      <c r="F663" s="10"/>
      <c r="G663" s="11"/>
      <c r="H663" s="11"/>
    </row>
    <row r="664" customFormat="false" ht="15" hidden="false" customHeight="false" outlineLevel="0" collapsed="false">
      <c r="A664" s="10" t="s">
        <v>34</v>
      </c>
      <c r="B664" s="10" t="s">
        <v>2452</v>
      </c>
      <c r="C664" s="10" t="s">
        <v>2165</v>
      </c>
      <c r="D664" s="10" t="s">
        <v>2453</v>
      </c>
      <c r="E664" s="10" t="s">
        <v>2454</v>
      </c>
      <c r="F664" s="10"/>
      <c r="G664" s="11"/>
      <c r="H664" s="11"/>
    </row>
    <row r="665" customFormat="false" ht="23.85" hidden="false" customHeight="false" outlineLevel="0" collapsed="false">
      <c r="A665" s="10" t="s">
        <v>34</v>
      </c>
      <c r="B665" s="10" t="s">
        <v>2455</v>
      </c>
      <c r="C665" s="10" t="s">
        <v>2154</v>
      </c>
      <c r="D665" s="10" t="s">
        <v>2456</v>
      </c>
      <c r="E665" s="10" t="s">
        <v>2457</v>
      </c>
      <c r="F665" s="10"/>
      <c r="G665" s="11"/>
      <c r="H665" s="11"/>
    </row>
    <row r="666" customFormat="false" ht="23.85" hidden="false" customHeight="false" outlineLevel="0" collapsed="false">
      <c r="A666" s="10" t="s">
        <v>34</v>
      </c>
      <c r="B666" s="10" t="s">
        <v>2458</v>
      </c>
      <c r="C666" s="10" t="s">
        <v>2154</v>
      </c>
      <c r="D666" s="10" t="s">
        <v>2459</v>
      </c>
      <c r="E666" s="10" t="s">
        <v>2460</v>
      </c>
      <c r="F666" s="10"/>
      <c r="G666" s="11"/>
      <c r="H666" s="11"/>
    </row>
    <row r="667" customFormat="false" ht="23.85" hidden="false" customHeight="false" outlineLevel="0" collapsed="false">
      <c r="A667" s="10" t="s">
        <v>34</v>
      </c>
      <c r="B667" s="10" t="s">
        <v>2461</v>
      </c>
      <c r="C667" s="10" t="s">
        <v>2154</v>
      </c>
      <c r="D667" s="10" t="s">
        <v>2462</v>
      </c>
      <c r="E667" s="10" t="s">
        <v>2463</v>
      </c>
      <c r="F667" s="10"/>
      <c r="G667" s="11"/>
      <c r="H667" s="11"/>
    </row>
    <row r="668" customFormat="false" ht="23.85" hidden="false" customHeight="false" outlineLevel="0" collapsed="false">
      <c r="A668" s="10" t="s">
        <v>34</v>
      </c>
      <c r="B668" s="10" t="s">
        <v>2464</v>
      </c>
      <c r="C668" s="10" t="s">
        <v>2142</v>
      </c>
      <c r="D668" s="10" t="s">
        <v>2465</v>
      </c>
      <c r="E668" s="10" t="s">
        <v>2466</v>
      </c>
      <c r="F668" s="10"/>
      <c r="G668" s="11"/>
      <c r="H668" s="11"/>
    </row>
    <row r="669" customFormat="false" ht="15" hidden="false" customHeight="false" outlineLevel="0" collapsed="false">
      <c r="A669" s="10" t="s">
        <v>34</v>
      </c>
      <c r="B669" s="10" t="s">
        <v>2467</v>
      </c>
      <c r="C669" s="10" t="s">
        <v>2150</v>
      </c>
      <c r="D669" s="10" t="s">
        <v>2468</v>
      </c>
      <c r="E669" s="10" t="s">
        <v>2469</v>
      </c>
      <c r="F669" s="10"/>
      <c r="G669" s="11"/>
      <c r="H669" s="11"/>
    </row>
    <row r="670" customFormat="false" ht="15" hidden="false" customHeight="false" outlineLevel="0" collapsed="false">
      <c r="A670" s="10" t="s">
        <v>34</v>
      </c>
      <c r="B670" s="10" t="s">
        <v>2470</v>
      </c>
      <c r="C670" s="10" t="s">
        <v>2154</v>
      </c>
      <c r="D670" s="10" t="s">
        <v>2471</v>
      </c>
      <c r="E670" s="10" t="s">
        <v>2472</v>
      </c>
      <c r="F670" s="10"/>
      <c r="G670" s="11"/>
      <c r="H670" s="11"/>
    </row>
    <row r="671" customFormat="false" ht="15" hidden="false" customHeight="false" outlineLevel="0" collapsed="false">
      <c r="A671" s="10" t="s">
        <v>34</v>
      </c>
      <c r="B671" s="10" t="s">
        <v>2473</v>
      </c>
      <c r="C671" s="10" t="s">
        <v>2154</v>
      </c>
      <c r="D671" s="10" t="s">
        <v>2474</v>
      </c>
      <c r="E671" s="10" t="s">
        <v>2475</v>
      </c>
      <c r="F671" s="10"/>
      <c r="G671" s="11"/>
      <c r="H671" s="11"/>
    </row>
    <row r="672" customFormat="false" ht="23.85" hidden="false" customHeight="false" outlineLevel="0" collapsed="false">
      <c r="A672" s="10" t="s">
        <v>34</v>
      </c>
      <c r="B672" s="10" t="s">
        <v>2476</v>
      </c>
      <c r="C672" s="10" t="s">
        <v>2154</v>
      </c>
      <c r="D672" s="10" t="s">
        <v>2477</v>
      </c>
      <c r="E672" s="10" t="s">
        <v>2478</v>
      </c>
      <c r="F672" s="10"/>
      <c r="G672" s="11"/>
      <c r="H672" s="11"/>
    </row>
    <row r="673" customFormat="false" ht="23.85" hidden="false" customHeight="false" outlineLevel="0" collapsed="false">
      <c r="A673" s="10" t="s">
        <v>34</v>
      </c>
      <c r="B673" s="10" t="s">
        <v>2479</v>
      </c>
      <c r="C673" s="10" t="s">
        <v>2154</v>
      </c>
      <c r="D673" s="10" t="s">
        <v>2480</v>
      </c>
      <c r="E673" s="10" t="s">
        <v>2481</v>
      </c>
      <c r="F673" s="10"/>
      <c r="G673" s="11"/>
      <c r="H673" s="11"/>
    </row>
    <row r="674" customFormat="false" ht="23.85" hidden="false" customHeight="false" outlineLevel="0" collapsed="false">
      <c r="A674" s="10" t="s">
        <v>34</v>
      </c>
      <c r="B674" s="10" t="s">
        <v>2482</v>
      </c>
      <c r="C674" s="10" t="s">
        <v>2154</v>
      </c>
      <c r="D674" s="10" t="s">
        <v>2483</v>
      </c>
      <c r="E674" s="10" t="s">
        <v>2484</v>
      </c>
      <c r="F674" s="10"/>
      <c r="G674" s="11"/>
      <c r="H674" s="11"/>
    </row>
    <row r="675" customFormat="false" ht="23.85" hidden="false" customHeight="false" outlineLevel="0" collapsed="false">
      <c r="A675" s="10" t="s">
        <v>34</v>
      </c>
      <c r="B675" s="10" t="s">
        <v>2485</v>
      </c>
      <c r="C675" s="10" t="s">
        <v>2154</v>
      </c>
      <c r="D675" s="10" t="s">
        <v>2486</v>
      </c>
      <c r="E675" s="10" t="s">
        <v>2487</v>
      </c>
      <c r="F675" s="10"/>
      <c r="G675" s="11"/>
      <c r="H675" s="11"/>
    </row>
    <row r="676" customFormat="false" ht="15" hidden="false" customHeight="false" outlineLevel="0" collapsed="false">
      <c r="A676" s="10" t="s">
        <v>34</v>
      </c>
      <c r="B676" s="10" t="s">
        <v>2488</v>
      </c>
      <c r="C676" s="10" t="s">
        <v>2154</v>
      </c>
      <c r="D676" s="10" t="s">
        <v>2489</v>
      </c>
      <c r="E676" s="10" t="s">
        <v>2490</v>
      </c>
      <c r="F676" s="10"/>
      <c r="G676" s="11"/>
      <c r="H676" s="11"/>
    </row>
    <row r="677" customFormat="false" ht="15" hidden="false" customHeight="false" outlineLevel="0" collapsed="false">
      <c r="A677" s="10" t="s">
        <v>34</v>
      </c>
      <c r="B677" s="10" t="s">
        <v>2491</v>
      </c>
      <c r="C677" s="10" t="s">
        <v>2154</v>
      </c>
      <c r="D677" s="10" t="s">
        <v>2492</v>
      </c>
      <c r="E677" s="10" t="s">
        <v>2493</v>
      </c>
      <c r="F677" s="10"/>
      <c r="G677" s="11"/>
      <c r="H677" s="11"/>
    </row>
    <row r="678" customFormat="false" ht="15" hidden="false" customHeight="false" outlineLevel="0" collapsed="false">
      <c r="A678" s="10" t="s">
        <v>34</v>
      </c>
      <c r="B678" s="10" t="s">
        <v>2494</v>
      </c>
      <c r="C678" s="10" t="s">
        <v>2154</v>
      </c>
      <c r="D678" s="10" t="s">
        <v>2495</v>
      </c>
      <c r="E678" s="10" t="s">
        <v>2496</v>
      </c>
      <c r="F678" s="10"/>
      <c r="G678" s="11"/>
      <c r="H678" s="11"/>
    </row>
    <row r="679" customFormat="false" ht="15" hidden="false" customHeight="false" outlineLevel="0" collapsed="false">
      <c r="A679" s="10" t="s">
        <v>34</v>
      </c>
      <c r="B679" s="10" t="s">
        <v>2497</v>
      </c>
      <c r="C679" s="10" t="s">
        <v>2154</v>
      </c>
      <c r="D679" s="10" t="s">
        <v>2498</v>
      </c>
      <c r="E679" s="10" t="s">
        <v>2499</v>
      </c>
      <c r="F679" s="10"/>
      <c r="G679" s="11"/>
      <c r="H679" s="11"/>
    </row>
    <row r="680" customFormat="false" ht="15" hidden="false" customHeight="false" outlineLevel="0" collapsed="false">
      <c r="A680" s="10" t="s">
        <v>34</v>
      </c>
      <c r="B680" s="10" t="s">
        <v>2500</v>
      </c>
      <c r="C680" s="10" t="s">
        <v>2154</v>
      </c>
      <c r="D680" s="10" t="s">
        <v>2501</v>
      </c>
      <c r="E680" s="10" t="s">
        <v>2502</v>
      </c>
      <c r="F680" s="10"/>
      <c r="G680" s="11"/>
      <c r="H680" s="11"/>
    </row>
    <row r="681" customFormat="false" ht="15" hidden="false" customHeight="false" outlineLevel="0" collapsed="false">
      <c r="A681" s="10" t="s">
        <v>34</v>
      </c>
      <c r="B681" s="10" t="s">
        <v>2503</v>
      </c>
      <c r="C681" s="10" t="s">
        <v>2154</v>
      </c>
      <c r="D681" s="10" t="s">
        <v>2504</v>
      </c>
      <c r="E681" s="10" t="s">
        <v>2505</v>
      </c>
      <c r="F681" s="10"/>
      <c r="G681" s="11"/>
      <c r="H681" s="11"/>
    </row>
    <row r="682" customFormat="false" ht="15" hidden="false" customHeight="false" outlineLevel="0" collapsed="false">
      <c r="A682" s="10" t="s">
        <v>34</v>
      </c>
      <c r="B682" s="10" t="s">
        <v>2506</v>
      </c>
      <c r="C682" s="10" t="s">
        <v>2154</v>
      </c>
      <c r="D682" s="10" t="s">
        <v>2507</v>
      </c>
      <c r="E682" s="10" t="s">
        <v>2508</v>
      </c>
      <c r="F682" s="10"/>
      <c r="G682" s="11"/>
      <c r="H682" s="11"/>
    </row>
    <row r="683" customFormat="false" ht="15" hidden="false" customHeight="false" outlineLevel="0" collapsed="false">
      <c r="A683" s="10" t="s">
        <v>34</v>
      </c>
      <c r="B683" s="10" t="s">
        <v>2509</v>
      </c>
      <c r="C683" s="10" t="s">
        <v>2154</v>
      </c>
      <c r="D683" s="10" t="s">
        <v>2510</v>
      </c>
      <c r="E683" s="10" t="s">
        <v>2511</v>
      </c>
      <c r="F683" s="10"/>
      <c r="G683" s="11"/>
      <c r="H683" s="11"/>
    </row>
    <row r="684" customFormat="false" ht="23.85" hidden="false" customHeight="false" outlineLevel="0" collapsed="false">
      <c r="A684" s="10" t="s">
        <v>34</v>
      </c>
      <c r="B684" s="10" t="s">
        <v>2512</v>
      </c>
      <c r="C684" s="10" t="s">
        <v>2154</v>
      </c>
      <c r="D684" s="10" t="s">
        <v>2513</v>
      </c>
      <c r="E684" s="10" t="s">
        <v>2514</v>
      </c>
      <c r="F684" s="10"/>
      <c r="G684" s="11"/>
      <c r="H684" s="11"/>
    </row>
    <row r="685" customFormat="false" ht="15" hidden="false" customHeight="false" outlineLevel="0" collapsed="false">
      <c r="A685" s="10" t="s">
        <v>34</v>
      </c>
      <c r="B685" s="10" t="s">
        <v>2515</v>
      </c>
      <c r="C685" s="10" t="s">
        <v>2154</v>
      </c>
      <c r="D685" s="10" t="s">
        <v>2516</v>
      </c>
      <c r="E685" s="10" t="s">
        <v>2517</v>
      </c>
      <c r="F685" s="10"/>
      <c r="G685" s="11"/>
      <c r="H685" s="11"/>
    </row>
    <row r="686" customFormat="false" ht="23.85" hidden="false" customHeight="false" outlineLevel="0" collapsed="false">
      <c r="A686" s="10" t="s">
        <v>34</v>
      </c>
      <c r="B686" s="10" t="s">
        <v>2518</v>
      </c>
      <c r="C686" s="10" t="s">
        <v>2437</v>
      </c>
      <c r="D686" s="10" t="s">
        <v>2519</v>
      </c>
      <c r="E686" s="10" t="s">
        <v>2520</v>
      </c>
      <c r="F686" s="10"/>
      <c r="G686" s="11"/>
      <c r="H686" s="11"/>
    </row>
    <row r="687" customFormat="false" ht="23.85" hidden="false" customHeight="false" outlineLevel="0" collapsed="false">
      <c r="A687" s="10" t="s">
        <v>34</v>
      </c>
      <c r="B687" s="10" t="s">
        <v>2521</v>
      </c>
      <c r="C687" s="10" t="s">
        <v>2189</v>
      </c>
      <c r="D687" s="10" t="s">
        <v>2522</v>
      </c>
      <c r="E687" s="10" t="s">
        <v>2523</v>
      </c>
      <c r="F687" s="10"/>
      <c r="G687" s="11"/>
      <c r="H687" s="11"/>
    </row>
    <row r="688" customFormat="false" ht="15" hidden="false" customHeight="false" outlineLevel="0" collapsed="false">
      <c r="A688" s="10" t="s">
        <v>34</v>
      </c>
      <c r="B688" s="10" t="s">
        <v>2524</v>
      </c>
      <c r="C688" s="10" t="s">
        <v>2142</v>
      </c>
      <c r="D688" s="10" t="s">
        <v>2525</v>
      </c>
      <c r="E688" s="10" t="s">
        <v>2526</v>
      </c>
      <c r="F688" s="10"/>
      <c r="G688" s="11"/>
      <c r="H688" s="11"/>
    </row>
    <row r="689" customFormat="false" ht="15" hidden="false" customHeight="false" outlineLevel="0" collapsed="false">
      <c r="A689" s="10" t="s">
        <v>34</v>
      </c>
      <c r="B689" s="10" t="s">
        <v>2527</v>
      </c>
      <c r="C689" s="10" t="s">
        <v>2154</v>
      </c>
      <c r="D689" s="10" t="s">
        <v>2528</v>
      </c>
      <c r="E689" s="10" t="s">
        <v>2529</v>
      </c>
      <c r="F689" s="10"/>
      <c r="G689" s="11"/>
      <c r="H689" s="11"/>
    </row>
    <row r="690" customFormat="false" ht="23.85" hidden="false" customHeight="false" outlineLevel="0" collapsed="false">
      <c r="A690" s="10" t="s">
        <v>34</v>
      </c>
      <c r="B690" s="10" t="s">
        <v>2530</v>
      </c>
      <c r="C690" s="10" t="s">
        <v>2189</v>
      </c>
      <c r="D690" s="10" t="s">
        <v>2531</v>
      </c>
      <c r="E690" s="10" t="s">
        <v>2532</v>
      </c>
      <c r="F690" s="10"/>
      <c r="G690" s="11"/>
      <c r="H690" s="11"/>
    </row>
    <row r="691" customFormat="false" ht="23.85" hidden="false" customHeight="false" outlineLevel="0" collapsed="false">
      <c r="A691" s="10" t="s">
        <v>34</v>
      </c>
      <c r="B691" s="10" t="s">
        <v>2533</v>
      </c>
      <c r="C691" s="10" t="s">
        <v>2165</v>
      </c>
      <c r="D691" s="10" t="s">
        <v>2534</v>
      </c>
      <c r="E691" s="10" t="s">
        <v>2535</v>
      </c>
      <c r="F691" s="10"/>
      <c r="G691" s="11"/>
      <c r="H691" s="11"/>
    </row>
    <row r="692" customFormat="false" ht="15" hidden="false" customHeight="false" outlineLevel="0" collapsed="false">
      <c r="A692" s="10" t="s">
        <v>34</v>
      </c>
      <c r="B692" s="10" t="s">
        <v>2536</v>
      </c>
      <c r="C692" s="10" t="s">
        <v>2154</v>
      </c>
      <c r="D692" s="10" t="s">
        <v>2537</v>
      </c>
      <c r="E692" s="10" t="s">
        <v>2538</v>
      </c>
      <c r="F692" s="10"/>
      <c r="G692" s="11"/>
      <c r="H692" s="11"/>
    </row>
    <row r="693" customFormat="false" ht="15" hidden="false" customHeight="false" outlineLevel="0" collapsed="false">
      <c r="A693" s="10" t="s">
        <v>34</v>
      </c>
      <c r="B693" s="10" t="s">
        <v>2539</v>
      </c>
      <c r="C693" s="10" t="s">
        <v>2316</v>
      </c>
      <c r="D693" s="10" t="s">
        <v>2540</v>
      </c>
      <c r="E693" s="10" t="s">
        <v>2541</v>
      </c>
      <c r="F693" s="10"/>
      <c r="G693" s="11"/>
      <c r="H693" s="11"/>
    </row>
    <row r="694" customFormat="false" ht="15" hidden="false" customHeight="false" outlineLevel="0" collapsed="false">
      <c r="A694" s="10" t="s">
        <v>34</v>
      </c>
      <c r="B694" s="10" t="s">
        <v>2542</v>
      </c>
      <c r="C694" s="10" t="s">
        <v>2154</v>
      </c>
      <c r="D694" s="10" t="s">
        <v>2543</v>
      </c>
      <c r="E694" s="10" t="s">
        <v>2544</v>
      </c>
      <c r="F694" s="10"/>
      <c r="G694" s="11"/>
      <c r="H694" s="11"/>
    </row>
    <row r="695" customFormat="false" ht="15" hidden="false" customHeight="false" outlineLevel="0" collapsed="false">
      <c r="A695" s="10" t="s">
        <v>34</v>
      </c>
      <c r="B695" s="10" t="s">
        <v>2545</v>
      </c>
      <c r="C695" s="10" t="s">
        <v>2154</v>
      </c>
      <c r="D695" s="10" t="s">
        <v>2546</v>
      </c>
      <c r="E695" s="10" t="s">
        <v>2547</v>
      </c>
      <c r="F695" s="10"/>
      <c r="G695" s="11"/>
      <c r="H695" s="11"/>
    </row>
    <row r="696" customFormat="false" ht="23.85" hidden="false" customHeight="false" outlineLevel="0" collapsed="false">
      <c r="A696" s="10" t="s">
        <v>34</v>
      </c>
      <c r="B696" s="10" t="s">
        <v>2548</v>
      </c>
      <c r="C696" s="10" t="s">
        <v>2150</v>
      </c>
      <c r="D696" s="10" t="s">
        <v>2549</v>
      </c>
      <c r="E696" s="10" t="s">
        <v>2550</v>
      </c>
      <c r="F696" s="10"/>
      <c r="G696" s="11"/>
      <c r="H696" s="11"/>
    </row>
    <row r="697" customFormat="false" ht="15" hidden="false" customHeight="false" outlineLevel="0" collapsed="false">
      <c r="A697" s="10" t="s">
        <v>34</v>
      </c>
      <c r="B697" s="10" t="s">
        <v>2551</v>
      </c>
      <c r="C697" s="10" t="s">
        <v>2165</v>
      </c>
      <c r="D697" s="10" t="s">
        <v>2552</v>
      </c>
      <c r="E697" s="10" t="s">
        <v>2553</v>
      </c>
      <c r="F697" s="10"/>
      <c r="G697" s="11"/>
      <c r="H697" s="11"/>
    </row>
    <row r="698" customFormat="false" ht="15" hidden="false" customHeight="false" outlineLevel="0" collapsed="false">
      <c r="A698" s="10" t="s">
        <v>34</v>
      </c>
      <c r="B698" s="10" t="s">
        <v>2554</v>
      </c>
      <c r="C698" s="10" t="s">
        <v>2165</v>
      </c>
      <c r="D698" s="10" t="s">
        <v>2555</v>
      </c>
      <c r="E698" s="10" t="s">
        <v>2556</v>
      </c>
      <c r="F698" s="10"/>
      <c r="G698" s="11"/>
      <c r="H698" s="11"/>
    </row>
    <row r="699" customFormat="false" ht="15" hidden="false" customHeight="false" outlineLevel="0" collapsed="false">
      <c r="A699" s="10" t="s">
        <v>34</v>
      </c>
      <c r="B699" s="10" t="s">
        <v>2557</v>
      </c>
      <c r="C699" s="10" t="s">
        <v>2165</v>
      </c>
      <c r="D699" s="10" t="s">
        <v>2558</v>
      </c>
      <c r="E699" s="10" t="s">
        <v>2559</v>
      </c>
      <c r="F699" s="10"/>
      <c r="G699" s="11"/>
      <c r="H699" s="11"/>
    </row>
    <row r="700" customFormat="false" ht="23.85" hidden="false" customHeight="false" outlineLevel="0" collapsed="false">
      <c r="A700" s="10" t="s">
        <v>34</v>
      </c>
      <c r="B700" s="10" t="s">
        <v>2560</v>
      </c>
      <c r="C700" s="10" t="s">
        <v>2165</v>
      </c>
      <c r="D700" s="10" t="s">
        <v>164</v>
      </c>
      <c r="E700" s="10" t="s">
        <v>2561</v>
      </c>
      <c r="F700" s="10"/>
      <c r="G700" s="11"/>
      <c r="H700" s="11"/>
    </row>
    <row r="701" customFormat="false" ht="23.85" hidden="false" customHeight="false" outlineLevel="0" collapsed="false">
      <c r="A701" s="10" t="s">
        <v>34</v>
      </c>
      <c r="B701" s="10" t="s">
        <v>2562</v>
      </c>
      <c r="C701" s="10" t="s">
        <v>2182</v>
      </c>
      <c r="D701" s="10" t="s">
        <v>2563</v>
      </c>
      <c r="E701" s="10" t="s">
        <v>2564</v>
      </c>
      <c r="F701" s="10"/>
      <c r="G701" s="11"/>
      <c r="H701" s="11"/>
    </row>
    <row r="702" customFormat="false" ht="23.85" hidden="false" customHeight="false" outlineLevel="0" collapsed="false">
      <c r="A702" s="10" t="s">
        <v>34</v>
      </c>
      <c r="B702" s="10" t="s">
        <v>2565</v>
      </c>
      <c r="C702" s="10" t="s">
        <v>2566</v>
      </c>
      <c r="D702" s="10" t="s">
        <v>2567</v>
      </c>
      <c r="E702" s="10" t="s">
        <v>2568</v>
      </c>
      <c r="F702" s="10"/>
      <c r="G702" s="11"/>
      <c r="H702" s="11"/>
    </row>
    <row r="703" customFormat="false" ht="15" hidden="false" customHeight="false" outlineLevel="0" collapsed="false">
      <c r="A703" s="10" t="s">
        <v>34</v>
      </c>
      <c r="B703" s="10" t="s">
        <v>2569</v>
      </c>
      <c r="C703" s="10" t="s">
        <v>2189</v>
      </c>
      <c r="D703" s="10" t="s">
        <v>2570</v>
      </c>
      <c r="E703" s="10" t="s">
        <v>2571</v>
      </c>
      <c r="F703" s="10"/>
      <c r="G703" s="11"/>
      <c r="H703" s="11"/>
    </row>
    <row r="704" customFormat="false" ht="23.85" hidden="false" customHeight="false" outlineLevel="0" collapsed="false">
      <c r="A704" s="10" t="s">
        <v>34</v>
      </c>
      <c r="B704" s="10" t="s">
        <v>2572</v>
      </c>
      <c r="C704" s="10" t="s">
        <v>2182</v>
      </c>
      <c r="D704" s="10" t="s">
        <v>2573</v>
      </c>
      <c r="E704" s="10" t="s">
        <v>2574</v>
      </c>
      <c r="F704" s="10"/>
      <c r="G704" s="11"/>
      <c r="H704" s="11"/>
    </row>
    <row r="705" customFormat="false" ht="15" hidden="false" customHeight="false" outlineLevel="0" collapsed="false">
      <c r="A705" s="10" t="s">
        <v>34</v>
      </c>
      <c r="B705" s="10" t="s">
        <v>2575</v>
      </c>
      <c r="C705" s="10" t="s">
        <v>2142</v>
      </c>
      <c r="D705" s="10" t="s">
        <v>2576</v>
      </c>
      <c r="E705" s="10" t="s">
        <v>2577</v>
      </c>
      <c r="F705" s="10"/>
      <c r="G705" s="11"/>
      <c r="H705" s="11"/>
    </row>
    <row r="706" customFormat="false" ht="23.85" hidden="false" customHeight="false" outlineLevel="0" collapsed="false">
      <c r="A706" s="10" t="s">
        <v>34</v>
      </c>
      <c r="B706" s="10" t="s">
        <v>2578</v>
      </c>
      <c r="C706" s="10" t="s">
        <v>2189</v>
      </c>
      <c r="D706" s="10" t="s">
        <v>2579</v>
      </c>
      <c r="E706" s="10" t="s">
        <v>2580</v>
      </c>
      <c r="F706" s="10"/>
      <c r="G706" s="11"/>
      <c r="H706" s="11"/>
    </row>
    <row r="707" customFormat="false" ht="23.85" hidden="false" customHeight="false" outlineLevel="0" collapsed="false">
      <c r="A707" s="10" t="s">
        <v>34</v>
      </c>
      <c r="B707" s="10" t="s">
        <v>2581</v>
      </c>
      <c r="C707" s="10" t="s">
        <v>2165</v>
      </c>
      <c r="D707" s="10" t="s">
        <v>2582</v>
      </c>
      <c r="E707" s="10" t="s">
        <v>2583</v>
      </c>
      <c r="F707" s="10"/>
      <c r="G707" s="11"/>
      <c r="H707" s="11"/>
    </row>
    <row r="708" customFormat="false" ht="23.85" hidden="false" customHeight="false" outlineLevel="0" collapsed="false">
      <c r="A708" s="10" t="s">
        <v>34</v>
      </c>
      <c r="B708" s="10" t="s">
        <v>2584</v>
      </c>
      <c r="C708" s="10" t="s">
        <v>2165</v>
      </c>
      <c r="D708" s="10" t="s">
        <v>2585</v>
      </c>
      <c r="E708" s="10" t="s">
        <v>2586</v>
      </c>
      <c r="F708" s="10"/>
      <c r="G708" s="11"/>
      <c r="H708" s="11"/>
    </row>
    <row r="709" customFormat="false" ht="15" hidden="false" customHeight="false" outlineLevel="0" collapsed="false">
      <c r="A709" s="10" t="s">
        <v>34</v>
      </c>
      <c r="B709" s="10" t="s">
        <v>2587</v>
      </c>
      <c r="C709" s="10" t="s">
        <v>2150</v>
      </c>
      <c r="D709" s="10" t="s">
        <v>2588</v>
      </c>
      <c r="E709" s="10" t="s">
        <v>2589</v>
      </c>
      <c r="F709" s="10"/>
      <c r="G709" s="11"/>
      <c r="H709" s="11"/>
    </row>
    <row r="710" customFormat="false" ht="15" hidden="false" customHeight="false" outlineLevel="0" collapsed="false">
      <c r="A710" s="10" t="s">
        <v>34</v>
      </c>
      <c r="B710" s="10" t="s">
        <v>2590</v>
      </c>
      <c r="C710" s="10" t="s">
        <v>2154</v>
      </c>
      <c r="D710" s="10" t="s">
        <v>2591</v>
      </c>
      <c r="E710" s="10" t="s">
        <v>2592</v>
      </c>
      <c r="F710" s="10"/>
      <c r="G710" s="11"/>
      <c r="H710" s="11"/>
    </row>
    <row r="711" customFormat="false" ht="15" hidden="false" customHeight="false" outlineLevel="0" collapsed="false">
      <c r="A711" s="10" t="s">
        <v>34</v>
      </c>
      <c r="B711" s="10" t="s">
        <v>2593</v>
      </c>
      <c r="C711" s="10" t="s">
        <v>2150</v>
      </c>
      <c r="D711" s="10" t="s">
        <v>2594</v>
      </c>
      <c r="E711" s="10" t="s">
        <v>2595</v>
      </c>
      <c r="F711" s="10"/>
      <c r="G711" s="11"/>
      <c r="H711" s="11"/>
    </row>
    <row r="712" customFormat="false" ht="15" hidden="false" customHeight="false" outlineLevel="0" collapsed="false">
      <c r="A712" s="10" t="s">
        <v>34</v>
      </c>
      <c r="B712" s="10" t="s">
        <v>2596</v>
      </c>
      <c r="C712" s="10" t="s">
        <v>2165</v>
      </c>
      <c r="D712" s="10" t="s">
        <v>2597</v>
      </c>
      <c r="E712" s="10" t="s">
        <v>2598</v>
      </c>
      <c r="F712" s="10"/>
      <c r="G712" s="11"/>
      <c r="H712" s="11"/>
    </row>
    <row r="713" customFormat="false" ht="23.85" hidden="false" customHeight="false" outlineLevel="0" collapsed="false">
      <c r="A713" s="10" t="s">
        <v>34</v>
      </c>
      <c r="B713" s="10" t="s">
        <v>2599</v>
      </c>
      <c r="C713" s="10" t="s">
        <v>2182</v>
      </c>
      <c r="D713" s="10" t="s">
        <v>2600</v>
      </c>
      <c r="E713" s="10" t="s">
        <v>2601</v>
      </c>
      <c r="F713" s="10"/>
      <c r="G713" s="11"/>
      <c r="H713" s="11"/>
    </row>
    <row r="714" customFormat="false" ht="23.85" hidden="false" customHeight="false" outlineLevel="0" collapsed="false">
      <c r="A714" s="10" t="s">
        <v>34</v>
      </c>
      <c r="B714" s="10" t="s">
        <v>2602</v>
      </c>
      <c r="C714" s="10" t="s">
        <v>2142</v>
      </c>
      <c r="D714" s="10" t="s">
        <v>2603</v>
      </c>
      <c r="E714" s="10" t="s">
        <v>2604</v>
      </c>
      <c r="F714" s="10"/>
      <c r="G714" s="11"/>
      <c r="H714" s="11"/>
    </row>
    <row r="715" customFormat="false" ht="23.85" hidden="false" customHeight="false" outlineLevel="0" collapsed="false">
      <c r="A715" s="10" t="s">
        <v>34</v>
      </c>
      <c r="B715" s="10" t="s">
        <v>2605</v>
      </c>
      <c r="C715" s="10" t="s">
        <v>2165</v>
      </c>
      <c r="D715" s="10" t="s">
        <v>2606</v>
      </c>
      <c r="E715" s="10" t="s">
        <v>2607</v>
      </c>
      <c r="F715" s="10"/>
      <c r="G715" s="11"/>
      <c r="H715" s="11"/>
    </row>
    <row r="716" customFormat="false" ht="15" hidden="false" customHeight="false" outlineLevel="0" collapsed="false">
      <c r="A716" s="10" t="s">
        <v>34</v>
      </c>
      <c r="B716" s="10" t="s">
        <v>2608</v>
      </c>
      <c r="C716" s="10" t="s">
        <v>2165</v>
      </c>
      <c r="D716" s="10" t="s">
        <v>2609</v>
      </c>
      <c r="E716" s="10" t="s">
        <v>2610</v>
      </c>
      <c r="F716" s="10"/>
      <c r="G716" s="11"/>
      <c r="H716" s="11"/>
    </row>
    <row r="717" customFormat="false" ht="23.85" hidden="false" customHeight="false" outlineLevel="0" collapsed="false">
      <c r="A717" s="10" t="s">
        <v>34</v>
      </c>
      <c r="B717" s="10" t="s">
        <v>2611</v>
      </c>
      <c r="C717" s="10" t="s">
        <v>2165</v>
      </c>
      <c r="D717" s="10" t="s">
        <v>2612</v>
      </c>
      <c r="E717" s="10" t="s">
        <v>2613</v>
      </c>
      <c r="F717" s="10"/>
      <c r="G717" s="11"/>
      <c r="H717" s="11"/>
    </row>
    <row r="718" customFormat="false" ht="23.85" hidden="false" customHeight="false" outlineLevel="0" collapsed="false">
      <c r="A718" s="10" t="s">
        <v>34</v>
      </c>
      <c r="B718" s="10" t="s">
        <v>2614</v>
      </c>
      <c r="C718" s="10" t="s">
        <v>2154</v>
      </c>
      <c r="D718" s="10" t="s">
        <v>2615</v>
      </c>
      <c r="E718" s="10" t="s">
        <v>2616</v>
      </c>
      <c r="F718" s="10"/>
      <c r="G718" s="11"/>
      <c r="H718" s="11"/>
    </row>
    <row r="719" customFormat="false" ht="23.85" hidden="false" customHeight="false" outlineLevel="0" collapsed="false">
      <c r="A719" s="10" t="s">
        <v>34</v>
      </c>
      <c r="B719" s="10" t="s">
        <v>2617</v>
      </c>
      <c r="C719" s="10" t="s">
        <v>2189</v>
      </c>
      <c r="D719" s="10" t="s">
        <v>2618</v>
      </c>
      <c r="E719" s="10" t="s">
        <v>2619</v>
      </c>
      <c r="F719" s="10"/>
      <c r="G719" s="11"/>
      <c r="H719" s="11"/>
    </row>
    <row r="720" customFormat="false" ht="15" hidden="false" customHeight="false" outlineLevel="0" collapsed="false">
      <c r="A720" s="10" t="s">
        <v>34</v>
      </c>
      <c r="B720" s="10" t="s">
        <v>2620</v>
      </c>
      <c r="C720" s="10" t="s">
        <v>2154</v>
      </c>
      <c r="D720" s="10" t="s">
        <v>2621</v>
      </c>
      <c r="E720" s="10" t="s">
        <v>2622</v>
      </c>
      <c r="F720" s="10"/>
      <c r="G720" s="11"/>
      <c r="H720" s="11"/>
    </row>
    <row r="721" customFormat="false" ht="23.85" hidden="false" customHeight="false" outlineLevel="0" collapsed="false">
      <c r="A721" s="10" t="s">
        <v>34</v>
      </c>
      <c r="B721" s="10" t="s">
        <v>2623</v>
      </c>
      <c r="C721" s="10" t="s">
        <v>2150</v>
      </c>
      <c r="D721" s="10" t="s">
        <v>2624</v>
      </c>
      <c r="E721" s="10" t="s">
        <v>2625</v>
      </c>
      <c r="F721" s="10"/>
      <c r="G721" s="11"/>
      <c r="H721" s="11"/>
    </row>
    <row r="722" customFormat="false" ht="15" hidden="false" customHeight="false" outlineLevel="0" collapsed="false">
      <c r="A722" s="10" t="s">
        <v>34</v>
      </c>
      <c r="B722" s="10" t="s">
        <v>2626</v>
      </c>
      <c r="C722" s="10" t="s">
        <v>2154</v>
      </c>
      <c r="D722" s="10" t="s">
        <v>2627</v>
      </c>
      <c r="E722" s="10" t="s">
        <v>2628</v>
      </c>
      <c r="F722" s="10"/>
      <c r="G722" s="11"/>
      <c r="H722" s="11"/>
    </row>
    <row r="723" customFormat="false" ht="23.85" hidden="false" customHeight="false" outlineLevel="0" collapsed="false">
      <c r="A723" s="10" t="s">
        <v>34</v>
      </c>
      <c r="B723" s="10" t="s">
        <v>2629</v>
      </c>
      <c r="C723" s="10" t="s">
        <v>2142</v>
      </c>
      <c r="D723" s="10" t="s">
        <v>2630</v>
      </c>
      <c r="E723" s="10" t="s">
        <v>2631</v>
      </c>
      <c r="F723" s="10"/>
      <c r="G723" s="11"/>
      <c r="H723" s="11"/>
    </row>
    <row r="724" customFormat="false" ht="15" hidden="false" customHeight="false" outlineLevel="0" collapsed="false">
      <c r="A724" s="10" t="s">
        <v>34</v>
      </c>
      <c r="B724" s="10" t="s">
        <v>2632</v>
      </c>
      <c r="C724" s="10" t="s">
        <v>2165</v>
      </c>
      <c r="D724" s="10" t="s">
        <v>2633</v>
      </c>
      <c r="E724" s="10" t="s">
        <v>2634</v>
      </c>
      <c r="F724" s="10"/>
      <c r="G724" s="11"/>
      <c r="H724" s="11"/>
    </row>
    <row r="725" customFormat="false" ht="15" hidden="false" customHeight="false" outlineLevel="0" collapsed="false">
      <c r="A725" s="10" t="s">
        <v>34</v>
      </c>
      <c r="B725" s="10" t="s">
        <v>2635</v>
      </c>
      <c r="C725" s="10" t="s">
        <v>2154</v>
      </c>
      <c r="D725" s="10" t="s">
        <v>2636</v>
      </c>
      <c r="E725" s="10" t="s">
        <v>2637</v>
      </c>
      <c r="F725" s="10"/>
      <c r="G725" s="11"/>
      <c r="H725" s="11"/>
    </row>
    <row r="726" customFormat="false" ht="15" hidden="false" customHeight="false" outlineLevel="0" collapsed="false">
      <c r="A726" s="10" t="s">
        <v>34</v>
      </c>
      <c r="B726" s="10" t="s">
        <v>2638</v>
      </c>
      <c r="C726" s="10" t="s">
        <v>2142</v>
      </c>
      <c r="D726" s="10" t="s">
        <v>2639</v>
      </c>
      <c r="E726" s="10" t="s">
        <v>2640</v>
      </c>
      <c r="F726" s="10"/>
      <c r="G726" s="11"/>
      <c r="H726" s="11"/>
    </row>
    <row r="727" customFormat="false" ht="15" hidden="false" customHeight="false" outlineLevel="0" collapsed="false">
      <c r="A727" s="10" t="s">
        <v>34</v>
      </c>
      <c r="B727" s="10" t="s">
        <v>2641</v>
      </c>
      <c r="C727" s="10" t="s">
        <v>2142</v>
      </c>
      <c r="D727" s="10" t="s">
        <v>2642</v>
      </c>
      <c r="E727" s="10" t="s">
        <v>2643</v>
      </c>
      <c r="F727" s="10"/>
      <c r="G727" s="11"/>
      <c r="H727" s="11"/>
    </row>
    <row r="728" customFormat="false" ht="15" hidden="false" customHeight="false" outlineLevel="0" collapsed="false">
      <c r="A728" s="10" t="s">
        <v>34</v>
      </c>
      <c r="B728" s="10" t="s">
        <v>2644</v>
      </c>
      <c r="C728" s="10" t="s">
        <v>2142</v>
      </c>
      <c r="D728" s="10" t="s">
        <v>2645</v>
      </c>
      <c r="E728" s="10" t="s">
        <v>2646</v>
      </c>
      <c r="F728" s="10"/>
      <c r="G728" s="11"/>
      <c r="H728" s="11"/>
    </row>
    <row r="729" customFormat="false" ht="23.85" hidden="false" customHeight="false" outlineLevel="0" collapsed="false">
      <c r="A729" s="10" t="s">
        <v>34</v>
      </c>
      <c r="B729" s="10" t="s">
        <v>2647</v>
      </c>
      <c r="C729" s="10" t="s">
        <v>2165</v>
      </c>
      <c r="D729" s="10" t="s">
        <v>2648</v>
      </c>
      <c r="E729" s="10" t="s">
        <v>2649</v>
      </c>
      <c r="F729" s="10"/>
      <c r="G729" s="11"/>
      <c r="H729" s="11"/>
    </row>
    <row r="730" customFormat="false" ht="15" hidden="false" customHeight="false" outlineLevel="0" collapsed="false">
      <c r="A730" s="10" t="s">
        <v>34</v>
      </c>
      <c r="B730" s="10" t="s">
        <v>2650</v>
      </c>
      <c r="C730" s="10" t="s">
        <v>2154</v>
      </c>
      <c r="D730" s="10" t="s">
        <v>2651</v>
      </c>
      <c r="E730" s="10" t="s">
        <v>2652</v>
      </c>
      <c r="F730" s="10"/>
      <c r="G730" s="11"/>
      <c r="H730" s="11"/>
    </row>
    <row r="731" customFormat="false" ht="23.85" hidden="false" customHeight="false" outlineLevel="0" collapsed="false">
      <c r="A731" s="10" t="s">
        <v>34</v>
      </c>
      <c r="B731" s="10" t="s">
        <v>2653</v>
      </c>
      <c r="C731" s="10" t="s">
        <v>2165</v>
      </c>
      <c r="D731" s="10" t="s">
        <v>2654</v>
      </c>
      <c r="E731" s="10" t="s">
        <v>2655</v>
      </c>
      <c r="F731" s="10"/>
      <c r="G731" s="11"/>
      <c r="H731" s="11"/>
    </row>
    <row r="732" customFormat="false" ht="23.85" hidden="false" customHeight="false" outlineLevel="0" collapsed="false">
      <c r="A732" s="10" t="s">
        <v>34</v>
      </c>
      <c r="B732" s="10" t="s">
        <v>2656</v>
      </c>
      <c r="C732" s="10" t="s">
        <v>2165</v>
      </c>
      <c r="D732" s="10" t="s">
        <v>2657</v>
      </c>
      <c r="E732" s="10" t="s">
        <v>2658</v>
      </c>
      <c r="F732" s="10"/>
      <c r="G732" s="11"/>
      <c r="H732" s="11"/>
    </row>
    <row r="733" customFormat="false" ht="23.85" hidden="false" customHeight="false" outlineLevel="0" collapsed="false">
      <c r="A733" s="10" t="s">
        <v>34</v>
      </c>
      <c r="B733" s="10" t="s">
        <v>2659</v>
      </c>
      <c r="C733" s="10" t="s">
        <v>2165</v>
      </c>
      <c r="D733" s="10" t="s">
        <v>2660</v>
      </c>
      <c r="E733" s="10" t="s">
        <v>2661</v>
      </c>
      <c r="F733" s="10"/>
      <c r="G733" s="11"/>
      <c r="H733" s="11"/>
    </row>
    <row r="734" customFormat="false" ht="23.85" hidden="false" customHeight="false" outlineLevel="0" collapsed="false">
      <c r="A734" s="10" t="s">
        <v>34</v>
      </c>
      <c r="B734" s="10" t="s">
        <v>2662</v>
      </c>
      <c r="C734" s="10" t="s">
        <v>2150</v>
      </c>
      <c r="D734" s="10" t="s">
        <v>2663</v>
      </c>
      <c r="E734" s="10" t="s">
        <v>2664</v>
      </c>
      <c r="F734" s="10"/>
      <c r="G734" s="11"/>
      <c r="H734" s="11"/>
    </row>
    <row r="735" customFormat="false" ht="23.85" hidden="false" customHeight="false" outlineLevel="0" collapsed="false">
      <c r="A735" s="10" t="s">
        <v>34</v>
      </c>
      <c r="B735" s="10" t="s">
        <v>2665</v>
      </c>
      <c r="C735" s="10" t="s">
        <v>2189</v>
      </c>
      <c r="D735" s="10" t="s">
        <v>2666</v>
      </c>
      <c r="E735" s="10" t="s">
        <v>2667</v>
      </c>
      <c r="F735" s="10"/>
      <c r="G735" s="11"/>
      <c r="H735" s="11"/>
    </row>
    <row r="736" customFormat="false" ht="15" hidden="false" customHeight="false" outlineLevel="0" collapsed="false">
      <c r="A736" s="10" t="s">
        <v>34</v>
      </c>
      <c r="B736" s="10" t="s">
        <v>2668</v>
      </c>
      <c r="C736" s="10" t="s">
        <v>2154</v>
      </c>
      <c r="D736" s="10" t="s">
        <v>2669</v>
      </c>
      <c r="E736" s="10" t="s">
        <v>2670</v>
      </c>
      <c r="F736" s="10"/>
      <c r="G736" s="11"/>
      <c r="H736" s="11"/>
    </row>
    <row r="737" customFormat="false" ht="15" hidden="false" customHeight="false" outlineLevel="0" collapsed="false">
      <c r="A737" s="10" t="s">
        <v>34</v>
      </c>
      <c r="B737" s="10" t="s">
        <v>2671</v>
      </c>
      <c r="C737" s="10" t="s">
        <v>2154</v>
      </c>
      <c r="D737" s="10" t="s">
        <v>2672</v>
      </c>
      <c r="E737" s="10" t="s">
        <v>2673</v>
      </c>
      <c r="F737" s="10"/>
      <c r="G737" s="11"/>
      <c r="H737" s="11"/>
    </row>
    <row r="738" customFormat="false" ht="15" hidden="false" customHeight="false" outlineLevel="0" collapsed="false">
      <c r="A738" s="10" t="s">
        <v>34</v>
      </c>
      <c r="B738" s="10" t="s">
        <v>2674</v>
      </c>
      <c r="C738" s="10" t="s">
        <v>2165</v>
      </c>
      <c r="D738" s="10" t="s">
        <v>2675</v>
      </c>
      <c r="E738" s="10" t="s">
        <v>2676</v>
      </c>
      <c r="F738" s="10"/>
      <c r="G738" s="11"/>
      <c r="H738" s="11"/>
    </row>
    <row r="739" customFormat="false" ht="23.85" hidden="false" customHeight="false" outlineLevel="0" collapsed="false">
      <c r="A739" s="10" t="s">
        <v>34</v>
      </c>
      <c r="B739" s="10" t="s">
        <v>2677</v>
      </c>
      <c r="C739" s="10" t="s">
        <v>2154</v>
      </c>
      <c r="D739" s="10" t="s">
        <v>2678</v>
      </c>
      <c r="E739" s="10" t="s">
        <v>2679</v>
      </c>
      <c r="F739" s="10"/>
      <c r="G739" s="11"/>
      <c r="H739" s="11"/>
    </row>
    <row r="740" customFormat="false" ht="23.85" hidden="false" customHeight="false" outlineLevel="0" collapsed="false">
      <c r="A740" s="10" t="s">
        <v>34</v>
      </c>
      <c r="B740" s="10" t="s">
        <v>2680</v>
      </c>
      <c r="C740" s="10" t="s">
        <v>2165</v>
      </c>
      <c r="D740" s="10" t="s">
        <v>2681</v>
      </c>
      <c r="E740" s="10" t="s">
        <v>2682</v>
      </c>
      <c r="F740" s="10"/>
      <c r="G740" s="11"/>
      <c r="H740" s="11"/>
    </row>
    <row r="741" customFormat="false" ht="15" hidden="false" customHeight="false" outlineLevel="0" collapsed="false">
      <c r="A741" s="10" t="s">
        <v>34</v>
      </c>
      <c r="B741" s="10" t="s">
        <v>2683</v>
      </c>
      <c r="C741" s="10" t="s">
        <v>2154</v>
      </c>
      <c r="D741" s="10" t="s">
        <v>2684</v>
      </c>
      <c r="E741" s="10" t="s">
        <v>2685</v>
      </c>
      <c r="F741" s="10"/>
      <c r="G741" s="11"/>
      <c r="H741" s="11"/>
    </row>
    <row r="742" customFormat="false" ht="23.85" hidden="false" customHeight="false" outlineLevel="0" collapsed="false">
      <c r="A742" s="10" t="s">
        <v>34</v>
      </c>
      <c r="B742" s="10" t="s">
        <v>2686</v>
      </c>
      <c r="C742" s="10" t="s">
        <v>2165</v>
      </c>
      <c r="D742" s="10" t="s">
        <v>2687</v>
      </c>
      <c r="E742" s="10" t="s">
        <v>2688</v>
      </c>
      <c r="F742" s="10"/>
      <c r="G742" s="11"/>
      <c r="H742" s="11"/>
    </row>
    <row r="743" customFormat="false" ht="23.85" hidden="false" customHeight="false" outlineLevel="0" collapsed="false">
      <c r="A743" s="10" t="s">
        <v>34</v>
      </c>
      <c r="B743" s="10" t="s">
        <v>2689</v>
      </c>
      <c r="C743" s="10" t="s">
        <v>2154</v>
      </c>
      <c r="D743" s="10" t="s">
        <v>2690</v>
      </c>
      <c r="E743" s="10" t="s">
        <v>2691</v>
      </c>
      <c r="F743" s="10"/>
      <c r="G743" s="11"/>
      <c r="H743" s="11"/>
    </row>
    <row r="744" customFormat="false" ht="15" hidden="false" customHeight="false" outlineLevel="0" collapsed="false">
      <c r="A744" s="10" t="s">
        <v>34</v>
      </c>
      <c r="B744" s="10" t="s">
        <v>2692</v>
      </c>
      <c r="C744" s="10" t="s">
        <v>2150</v>
      </c>
      <c r="D744" s="10" t="s">
        <v>2693</v>
      </c>
      <c r="E744" s="10" t="s">
        <v>2694</v>
      </c>
      <c r="F744" s="10"/>
      <c r="G744" s="11"/>
      <c r="H744" s="11"/>
    </row>
    <row r="745" customFormat="false" ht="23.85" hidden="false" customHeight="false" outlineLevel="0" collapsed="false">
      <c r="A745" s="10" t="s">
        <v>34</v>
      </c>
      <c r="B745" s="10" t="s">
        <v>2695</v>
      </c>
      <c r="C745" s="10" t="s">
        <v>2165</v>
      </c>
      <c r="D745" s="10" t="s">
        <v>2696</v>
      </c>
      <c r="E745" s="10" t="s">
        <v>2697</v>
      </c>
      <c r="F745" s="10"/>
      <c r="G745" s="11"/>
      <c r="H745" s="11"/>
    </row>
    <row r="746" customFormat="false" ht="23.85" hidden="false" customHeight="false" outlineLevel="0" collapsed="false">
      <c r="A746" s="10" t="s">
        <v>34</v>
      </c>
      <c r="B746" s="10" t="s">
        <v>2698</v>
      </c>
      <c r="C746" s="10" t="s">
        <v>2182</v>
      </c>
      <c r="D746" s="10" t="s">
        <v>2699</v>
      </c>
      <c r="E746" s="10" t="s">
        <v>2700</v>
      </c>
      <c r="F746" s="10"/>
      <c r="G746" s="11"/>
      <c r="H746" s="11"/>
    </row>
    <row r="747" customFormat="false" ht="15" hidden="false" customHeight="false" outlineLevel="0" collapsed="false">
      <c r="A747" s="10" t="s">
        <v>34</v>
      </c>
      <c r="B747" s="10" t="s">
        <v>2701</v>
      </c>
      <c r="C747" s="10" t="s">
        <v>2154</v>
      </c>
      <c r="D747" s="10" t="s">
        <v>2702</v>
      </c>
      <c r="E747" s="10" t="s">
        <v>2703</v>
      </c>
      <c r="F747" s="10"/>
      <c r="G747" s="11"/>
      <c r="H747" s="11"/>
    </row>
    <row r="748" customFormat="false" ht="23.85" hidden="false" customHeight="false" outlineLevel="0" collapsed="false">
      <c r="A748" s="10" t="s">
        <v>34</v>
      </c>
      <c r="B748" s="10" t="s">
        <v>2704</v>
      </c>
      <c r="C748" s="10" t="s">
        <v>2182</v>
      </c>
      <c r="D748" s="10" t="s">
        <v>2705</v>
      </c>
      <c r="E748" s="10" t="s">
        <v>2706</v>
      </c>
      <c r="F748" s="10"/>
      <c r="G748" s="11"/>
      <c r="H748" s="11"/>
    </row>
    <row r="749" customFormat="false" ht="23.85" hidden="false" customHeight="false" outlineLevel="0" collapsed="false">
      <c r="A749" s="10" t="s">
        <v>34</v>
      </c>
      <c r="B749" s="10" t="s">
        <v>2707</v>
      </c>
      <c r="C749" s="10" t="s">
        <v>2189</v>
      </c>
      <c r="D749" s="10" t="s">
        <v>2708</v>
      </c>
      <c r="E749" s="10" t="s">
        <v>2709</v>
      </c>
      <c r="F749" s="10"/>
      <c r="G749" s="11"/>
      <c r="H749" s="11"/>
    </row>
    <row r="750" customFormat="false" ht="23.85" hidden="false" customHeight="false" outlineLevel="0" collapsed="false">
      <c r="A750" s="10" t="s">
        <v>34</v>
      </c>
      <c r="B750" s="10" t="s">
        <v>2710</v>
      </c>
      <c r="C750" s="10" t="s">
        <v>2182</v>
      </c>
      <c r="D750" s="10" t="s">
        <v>2711</v>
      </c>
      <c r="E750" s="10" t="s">
        <v>2712</v>
      </c>
      <c r="F750" s="10"/>
      <c r="G750" s="11"/>
      <c r="H750" s="11"/>
    </row>
    <row r="751" customFormat="false" ht="15" hidden="false" customHeight="false" outlineLevel="0" collapsed="false">
      <c r="A751" s="10" t="s">
        <v>34</v>
      </c>
      <c r="B751" s="10" t="s">
        <v>2713</v>
      </c>
      <c r="C751" s="10" t="s">
        <v>2150</v>
      </c>
      <c r="D751" s="10" t="s">
        <v>2714</v>
      </c>
      <c r="E751" s="10" t="s">
        <v>2715</v>
      </c>
      <c r="F751" s="10"/>
      <c r="G751" s="11"/>
      <c r="H751" s="11"/>
    </row>
    <row r="752" customFormat="false" ht="23.85" hidden="false" customHeight="false" outlineLevel="0" collapsed="false">
      <c r="A752" s="10" t="s">
        <v>34</v>
      </c>
      <c r="B752" s="10" t="s">
        <v>2716</v>
      </c>
      <c r="C752" s="10" t="s">
        <v>2189</v>
      </c>
      <c r="D752" s="10" t="s">
        <v>2717</v>
      </c>
      <c r="E752" s="10" t="s">
        <v>2718</v>
      </c>
      <c r="F752" s="10"/>
      <c r="G752" s="11"/>
      <c r="H752" s="11"/>
    </row>
  </sheetData>
  <autoFilter ref="A1:H752"/>
  <dataValidations count="1">
    <dataValidation allowBlank="true" error="Choose OK, Change or Remove." errorStyle="stop" errorTitle="Verdict" operator="between" showDropDown="false" showErrorMessage="true" showInputMessage="false" sqref="G2:G752" type="list">
      <formula1>"OK,Change,Remove"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2026-10-03T20:20:02Z</dcterms:created>
  <dc:creator>openpyxl</dc:creator>
  <dc:description/>
  <dc:language>en-US</dc:language>
  <cp:lastModifiedBy/>
  <dcterms:modified xsi:type="dcterms:W3CDTF">2026-10-03T20:20:03Z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